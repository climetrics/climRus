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lfcco\OneDrive\Documents\"/>
    </mc:Choice>
  </mc:AlternateContent>
  <xr:revisionPtr revIDLastSave="0" documentId="13_ncr:1_{752F03F8-DD22-4D17-BFAA-EF33F07056EC}" xr6:coauthVersionLast="47" xr6:coauthVersionMax="47" xr10:uidLastSave="{00000000-0000-0000-0000-000000000000}"/>
  <bookViews>
    <workbookView xWindow="-110" yWindow="-110" windowWidth="22780" windowHeight="14540" activeTab="8" xr2:uid="{81CAF466-C753-43F6-9913-62E19CC2484C}"/>
  </bookViews>
  <sheets>
    <sheet name="Sheet5" sheetId="6" r:id="rId1"/>
    <sheet name="Master data" sheetId="3" r:id="rId2"/>
    <sheet name="Emissions" sheetId="1" r:id="rId3"/>
    <sheet name="Revenue" sheetId="4" r:id="rId4"/>
    <sheet name="GHG disclosure" sheetId="7" r:id="rId5"/>
    <sheet name="Target overview" sheetId="8" r:id="rId6"/>
    <sheet name="Workers" sheetId="5" r:id="rId7"/>
    <sheet name="Lukoil" sheetId="2" r:id="rId8"/>
    <sheet name="Severstal"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71" i="9" l="1"/>
  <c r="C42" i="9"/>
  <c r="B16" i="9"/>
  <c r="F62" i="9"/>
  <c r="D62" i="9"/>
  <c r="F61" i="9"/>
  <c r="D61" i="9"/>
  <c r="F60" i="9"/>
  <c r="D60" i="9"/>
  <c r="F59" i="9"/>
  <c r="D59" i="9"/>
  <c r="F58" i="9"/>
  <c r="D58" i="9"/>
  <c r="F57" i="9"/>
  <c r="D57" i="9"/>
  <c r="F56" i="9"/>
  <c r="D56" i="9"/>
  <c r="F55" i="9"/>
  <c r="D55" i="9"/>
  <c r="F54" i="9"/>
  <c r="D54" i="9"/>
  <c r="F53" i="9"/>
  <c r="D53" i="9"/>
  <c r="F52" i="9"/>
  <c r="D52" i="9"/>
  <c r="F51" i="9"/>
  <c r="D51" i="9"/>
  <c r="F50" i="9"/>
  <c r="D50" i="9"/>
  <c r="F49" i="9"/>
  <c r="D49" i="9"/>
  <c r="F48" i="9"/>
  <c r="D48" i="9"/>
  <c r="F47" i="9"/>
  <c r="D47" i="9"/>
  <c r="F46" i="9"/>
  <c r="D46" i="9"/>
  <c r="F45" i="9"/>
  <c r="D45" i="9"/>
  <c r="F44" i="9"/>
  <c r="D44" i="9"/>
  <c r="F43" i="9"/>
  <c r="D43" i="9"/>
  <c r="F42" i="9"/>
  <c r="D42" i="9"/>
  <c r="F41" i="9"/>
  <c r="D41" i="9"/>
  <c r="F40" i="9"/>
  <c r="D40" i="9"/>
  <c r="F39" i="9"/>
  <c r="D39" i="9"/>
  <c r="F38" i="9"/>
  <c r="D38" i="9"/>
  <c r="F37" i="9"/>
  <c r="D37" i="9"/>
  <c r="F36" i="9"/>
  <c r="J36" i="9" s="1"/>
  <c r="D36" i="9"/>
  <c r="I36" i="9" s="1"/>
  <c r="F35" i="9"/>
  <c r="J35" i="9" s="1"/>
  <c r="D35" i="9"/>
  <c r="I35" i="9" s="1"/>
  <c r="F34" i="9"/>
  <c r="J34" i="9" s="1"/>
  <c r="D34" i="9"/>
  <c r="I34" i="9" s="1"/>
  <c r="F33" i="9"/>
  <c r="J33" i="9" s="1"/>
  <c r="D33" i="9"/>
  <c r="I33" i="9" s="1"/>
  <c r="F32" i="9"/>
  <c r="J32" i="9" s="1"/>
  <c r="D32" i="9"/>
  <c r="I32" i="9" s="1"/>
  <c r="F31" i="9"/>
  <c r="J31" i="9" s="1"/>
  <c r="D31" i="9"/>
  <c r="I31" i="9" s="1"/>
  <c r="E29" i="9"/>
  <c r="B29" i="9"/>
  <c r="B10" i="9"/>
  <c r="D29" i="9" l="1"/>
  <c r="F29" i="9"/>
  <c r="J29" i="9"/>
  <c r="B17" i="9"/>
  <c r="G8" i="9" s="1"/>
  <c r="I29" i="9"/>
  <c r="B13" i="2"/>
  <c r="B10" i="2"/>
  <c r="I73" i="2"/>
  <c r="E26" i="2"/>
  <c r="B26" i="2"/>
  <c r="F34" i="2"/>
  <c r="F35" i="2"/>
  <c r="F36" i="2"/>
  <c r="F37" i="2"/>
  <c r="F38" i="2"/>
  <c r="F39" i="2"/>
  <c r="F40" i="2"/>
  <c r="F41" i="2"/>
  <c r="F42" i="2"/>
  <c r="F43" i="2"/>
  <c r="F44" i="2"/>
  <c r="F45" i="2"/>
  <c r="F46" i="2"/>
  <c r="F47" i="2"/>
  <c r="F48" i="2"/>
  <c r="F49" i="2"/>
  <c r="F50" i="2"/>
  <c r="F51" i="2"/>
  <c r="F52" i="2"/>
  <c r="F53" i="2"/>
  <c r="F54" i="2"/>
  <c r="F55" i="2"/>
  <c r="F56" i="2"/>
  <c r="F57" i="2"/>
  <c r="F58" i="2"/>
  <c r="F59" i="2"/>
  <c r="F29" i="2"/>
  <c r="J29" i="2" s="1"/>
  <c r="F30" i="2"/>
  <c r="J30" i="2" s="1"/>
  <c r="F31" i="2"/>
  <c r="J31" i="2" s="1"/>
  <c r="F32" i="2"/>
  <c r="J32" i="2" s="1"/>
  <c r="F33" i="2"/>
  <c r="J33" i="2" s="1"/>
  <c r="F28" i="2"/>
  <c r="J28" i="2" s="1"/>
  <c r="C39" i="2"/>
  <c r="D59" i="2"/>
  <c r="D35" i="2"/>
  <c r="D36" i="2"/>
  <c r="D37" i="2"/>
  <c r="D38" i="2"/>
  <c r="D39" i="2"/>
  <c r="D40" i="2"/>
  <c r="D41" i="2"/>
  <c r="D42" i="2"/>
  <c r="D43" i="2"/>
  <c r="D44" i="2"/>
  <c r="D45" i="2"/>
  <c r="D46" i="2"/>
  <c r="D47" i="2"/>
  <c r="D48" i="2"/>
  <c r="D49" i="2"/>
  <c r="D50" i="2"/>
  <c r="D51" i="2"/>
  <c r="D52" i="2"/>
  <c r="D53" i="2"/>
  <c r="D54" i="2"/>
  <c r="D55" i="2"/>
  <c r="D56" i="2"/>
  <c r="D57" i="2"/>
  <c r="D58" i="2"/>
  <c r="D29" i="2"/>
  <c r="I29" i="2" s="1"/>
  <c r="D30" i="2"/>
  <c r="I30" i="2" s="1"/>
  <c r="D31" i="2"/>
  <c r="I31" i="2" s="1"/>
  <c r="D32" i="2"/>
  <c r="I32" i="2" s="1"/>
  <c r="D33" i="2"/>
  <c r="I33" i="2" s="1"/>
  <c r="D34" i="2"/>
  <c r="D28" i="2"/>
  <c r="I28" i="2" s="1"/>
  <c r="U20" i="8"/>
  <c r="R11" i="8"/>
  <c r="T9" i="8"/>
  <c r="T10" i="8" s="1"/>
  <c r="T27" i="8"/>
  <c r="S28" i="8"/>
  <c r="R10" i="8"/>
  <c r="R9" i="8"/>
  <c r="R18" i="8"/>
  <c r="T18" i="8" s="1"/>
  <c r="R19" i="8"/>
  <c r="R20" i="8"/>
  <c r="T20" i="8" s="1"/>
  <c r="R21" i="8"/>
  <c r="T21" i="8" s="1"/>
  <c r="R22" i="8"/>
  <c r="T22" i="8" s="1"/>
  <c r="R23" i="8"/>
  <c r="T23" i="8" s="1"/>
  <c r="R24" i="8"/>
  <c r="T24" i="8" s="1"/>
  <c r="R25" i="8"/>
  <c r="T25" i="8" s="1"/>
  <c r="R26" i="8"/>
  <c r="T26" i="8" s="1"/>
  <c r="R27" i="8"/>
  <c r="R17" i="8"/>
  <c r="T17" i="8" s="1"/>
  <c r="Q17" i="8" a="1"/>
  <c r="Q17" i="8" s="1"/>
  <c r="R5" i="8"/>
  <c r="S10" i="8"/>
  <c r="U10" i="8"/>
  <c r="S9" i="8"/>
  <c r="U9" i="8"/>
  <c r="K56" i="7"/>
  <c r="I56" i="7" s="1"/>
  <c r="I62" i="7"/>
  <c r="H59" i="7"/>
  <c r="I59" i="7" s="1"/>
  <c r="H60" i="7"/>
  <c r="I60" i="7" s="1"/>
  <c r="H61" i="7"/>
  <c r="I61" i="7" s="1"/>
  <c r="H58" i="7"/>
  <c r="I58" i="7" s="1"/>
  <c r="F29" i="7"/>
  <c r="K33" i="7"/>
  <c r="I33" i="7" s="1"/>
  <c r="K34" i="7"/>
  <c r="I34" i="7" s="1"/>
  <c r="K35" i="7"/>
  <c r="I35" i="7" s="1"/>
  <c r="K36" i="7"/>
  <c r="I36" i="7" s="1"/>
  <c r="K37" i="7"/>
  <c r="I37" i="7" s="1"/>
  <c r="K38" i="7"/>
  <c r="I38" i="7" s="1"/>
  <c r="K39" i="7"/>
  <c r="I39" i="7" s="1"/>
  <c r="K40" i="7"/>
  <c r="I40" i="7" s="1"/>
  <c r="K47" i="7"/>
  <c r="I47" i="7" s="1"/>
  <c r="K48" i="7"/>
  <c r="I48" i="7" s="1"/>
  <c r="K49" i="7"/>
  <c r="I49" i="7" s="1"/>
  <c r="K50" i="7"/>
  <c r="I50" i="7" s="1"/>
  <c r="K51" i="7"/>
  <c r="I51" i="7" s="1"/>
  <c r="K52" i="7"/>
  <c r="I52" i="7" s="1"/>
  <c r="K53" i="7"/>
  <c r="I53" i="7" s="1"/>
  <c r="K55" i="7"/>
  <c r="I55" i="7" s="1"/>
  <c r="K43" i="7"/>
  <c r="I43" i="7" s="1"/>
  <c r="K44" i="7"/>
  <c r="I44" i="7" s="1"/>
  <c r="K45" i="7"/>
  <c r="I45" i="7" s="1"/>
  <c r="K42" i="7"/>
  <c r="I42" i="7" s="1"/>
  <c r="B21" i="6"/>
  <c r="B18" i="6"/>
  <c r="B29" i="5"/>
  <c r="F34" i="3"/>
  <c r="F30" i="3"/>
  <c r="J2" i="3" a="1"/>
  <c r="J2" i="3" s="1"/>
  <c r="E2" i="4"/>
  <c r="G21" i="3" s="1"/>
  <c r="G3" i="3"/>
  <c r="G4" i="3"/>
  <c r="G5" i="3"/>
  <c r="G7" i="3"/>
  <c r="G13" i="3"/>
  <c r="G14" i="3"/>
  <c r="G15" i="3"/>
  <c r="G16" i="3"/>
  <c r="G17" i="3"/>
  <c r="G24" i="3"/>
  <c r="G26" i="3"/>
  <c r="G2" i="3"/>
  <c r="F9" i="3"/>
  <c r="F13" i="3"/>
  <c r="F17" i="3"/>
  <c r="F19" i="3"/>
  <c r="F21" i="3"/>
  <c r="F24" i="3"/>
  <c r="F25" i="3"/>
  <c r="D30" i="4"/>
  <c r="D33" i="4" s="1"/>
  <c r="E28" i="4"/>
  <c r="G8" i="3" s="1"/>
  <c r="E27" i="4"/>
  <c r="G9" i="3" s="1"/>
  <c r="E26" i="4"/>
  <c r="G28" i="3" s="1"/>
  <c r="E25" i="4"/>
  <c r="E24" i="4"/>
  <c r="E23" i="4"/>
  <c r="E22" i="4"/>
  <c r="E21" i="4"/>
  <c r="E20" i="4"/>
  <c r="G20" i="3" s="1"/>
  <c r="E19" i="4"/>
  <c r="G19" i="3" s="1"/>
  <c r="E18" i="4"/>
  <c r="G12" i="3" s="1"/>
  <c r="E17" i="4"/>
  <c r="G25" i="3" s="1"/>
  <c r="E16" i="4"/>
  <c r="G22" i="3" s="1"/>
  <c r="E15" i="4"/>
  <c r="G27" i="3" s="1"/>
  <c r="E14" i="4"/>
  <c r="G18" i="3" s="1"/>
  <c r="E13" i="4"/>
  <c r="E12" i="4"/>
  <c r="G11" i="3" s="1"/>
  <c r="E11" i="4"/>
  <c r="E10" i="4"/>
  <c r="G10" i="3" s="1"/>
  <c r="E9" i="4"/>
  <c r="E8" i="4"/>
  <c r="G23" i="3" s="1"/>
  <c r="E7" i="4"/>
  <c r="G6" i="3" s="1"/>
  <c r="E6" i="4"/>
  <c r="E5" i="4"/>
  <c r="E4" i="4"/>
  <c r="B12" i="6" s="1"/>
  <c r="B15" i="6" s="1"/>
  <c r="I24" i="1"/>
  <c r="J24" i="1"/>
  <c r="F14" i="3" s="1"/>
  <c r="J3" i="1"/>
  <c r="F3" i="3" s="1"/>
  <c r="J8" i="1"/>
  <c r="F23" i="3" s="1"/>
  <c r="J10" i="1"/>
  <c r="F10" i="3" s="1"/>
  <c r="J11" i="1"/>
  <c r="J19" i="1"/>
  <c r="H32" i="1"/>
  <c r="H28" i="1"/>
  <c r="H27" i="1"/>
  <c r="H24" i="1"/>
  <c r="H22" i="1"/>
  <c r="H20" i="1"/>
  <c r="I22" i="1"/>
  <c r="J22" i="1" s="1"/>
  <c r="I21" i="1"/>
  <c r="J21" i="1" s="1"/>
  <c r="F7" i="3" s="1"/>
  <c r="H18" i="1"/>
  <c r="H17" i="1"/>
  <c r="H10" i="1"/>
  <c r="H11" i="1"/>
  <c r="H12" i="1"/>
  <c r="H9" i="1"/>
  <c r="H7" i="1"/>
  <c r="H6" i="1"/>
  <c r="H4" i="1"/>
  <c r="H13" i="1"/>
  <c r="H14" i="1"/>
  <c r="H16" i="1"/>
  <c r="H21" i="1"/>
  <c r="H23" i="1"/>
  <c r="H25" i="1"/>
  <c r="H26" i="1"/>
  <c r="H2" i="1"/>
  <c r="I28" i="1"/>
  <c r="J28" i="1" s="1"/>
  <c r="F8" i="3" s="1"/>
  <c r="I18" i="1"/>
  <c r="J18" i="1" s="1"/>
  <c r="F12" i="3" s="1"/>
  <c r="I12" i="1"/>
  <c r="J12" i="1" s="1"/>
  <c r="F11" i="3" s="1"/>
  <c r="I10" i="1"/>
  <c r="I11" i="1"/>
  <c r="I9" i="1"/>
  <c r="J9" i="1" s="1"/>
  <c r="I6" i="1"/>
  <c r="J6" i="1" s="1"/>
  <c r="F16" i="3" s="1"/>
  <c r="I7" i="1"/>
  <c r="J7" i="1" s="1"/>
  <c r="F6" i="3" s="1"/>
  <c r="I13" i="1"/>
  <c r="J13" i="1" s="1"/>
  <c r="F2" i="3" s="1"/>
  <c r="I14" i="1"/>
  <c r="J14" i="1" s="1"/>
  <c r="F18" i="3" s="1"/>
  <c r="I15" i="1"/>
  <c r="J15" i="1" s="1"/>
  <c r="F27" i="3" s="1"/>
  <c r="I16" i="1"/>
  <c r="J16" i="1" s="1"/>
  <c r="F22" i="3" s="1"/>
  <c r="I17" i="1"/>
  <c r="J17" i="1" s="1"/>
  <c r="I20" i="1"/>
  <c r="J20" i="1" s="1"/>
  <c r="F20" i="3" s="1"/>
  <c r="I23" i="1"/>
  <c r="J23" i="1" s="1"/>
  <c r="F5" i="3" s="1"/>
  <c r="I25" i="1"/>
  <c r="J25" i="1" s="1"/>
  <c r="F4" i="3" s="1"/>
  <c r="I26" i="1"/>
  <c r="J26" i="1" s="1"/>
  <c r="F28" i="3" s="1"/>
  <c r="I27" i="1"/>
  <c r="J27" i="1" s="1"/>
  <c r="I4" i="1"/>
  <c r="J4" i="1" s="1"/>
  <c r="F15" i="3" s="1"/>
  <c r="I5" i="1"/>
  <c r="J5" i="1" s="1"/>
  <c r="F26" i="3" s="1"/>
  <c r="I2" i="1"/>
  <c r="J2" i="1" s="1"/>
  <c r="H8" i="9" l="1"/>
  <c r="B14" i="2"/>
  <c r="H8" i="2" s="1"/>
  <c r="J26" i="2"/>
  <c r="D26" i="2"/>
  <c r="I26" i="2"/>
  <c r="F26" i="2"/>
  <c r="T19" i="8"/>
  <c r="J59" i="7"/>
  <c r="H64" i="7"/>
  <c r="I64" i="7" s="1"/>
  <c r="B3" i="6"/>
  <c r="B6" i="6" s="1"/>
  <c r="I30" i="1"/>
  <c r="H33" i="1" s="1"/>
  <c r="G8" i="2" l="1"/>
  <c r="B9"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<sst xmlns="http://schemas.openxmlformats.org/spreadsheetml/2006/main" count="2115" uniqueCount="404">
  <si>
    <t>Passenger Transport</t>
  </si>
  <si>
    <t>Aeroflot</t>
  </si>
  <si>
    <t>Conglomerates</t>
  </si>
  <si>
    <t>Cemros</t>
  </si>
  <si>
    <t>Oil &amp; Gas</t>
  </si>
  <si>
    <t>Gazprom</t>
  </si>
  <si>
    <t>Utilities</t>
  </si>
  <si>
    <t>Inter RAO</t>
  </si>
  <si>
    <t>Lukoil</t>
  </si>
  <si>
    <t>Food Retailers</t>
  </si>
  <si>
    <t>Magnit</t>
  </si>
  <si>
    <t>Telecommunications</t>
  </si>
  <si>
    <t>MegaFon</t>
  </si>
  <si>
    <t>MTS</t>
  </si>
  <si>
    <t>Metals &amp; Mining</t>
  </si>
  <si>
    <t>Nornickel</t>
  </si>
  <si>
    <t>Novatek</t>
  </si>
  <si>
    <t>NLMK</t>
  </si>
  <si>
    <t>Chemicals</t>
  </si>
  <si>
    <t>PhosAgro</t>
  </si>
  <si>
    <t>Rosneft</t>
  </si>
  <si>
    <t>Rosseti</t>
  </si>
  <si>
    <t>Russian Railways</t>
  </si>
  <si>
    <t>Rostelecom</t>
  </si>
  <si>
    <t>Severstal</t>
  </si>
  <si>
    <t>Surgutneftegas</t>
  </si>
  <si>
    <t>Tatneft</t>
  </si>
  <si>
    <t>X5 Retail Group</t>
  </si>
  <si>
    <t>Rusal</t>
  </si>
  <si>
    <t>Food Production</t>
  </si>
  <si>
    <t>RusAgro</t>
  </si>
  <si>
    <t>Polyus</t>
  </si>
  <si>
    <t>Construction &amp; Engineering</t>
  </si>
  <si>
    <t>PIK Group</t>
  </si>
  <si>
    <t>Mosvodokanal</t>
  </si>
  <si>
    <t>IT Software &amp; Services</t>
  </si>
  <si>
    <t>VK</t>
  </si>
  <si>
    <t>Yandex</t>
  </si>
  <si>
    <t>Industry</t>
  </si>
  <si>
    <t>Company</t>
  </si>
  <si>
    <t>Scope 1 emissions</t>
  </si>
  <si>
    <t>Scope 2 emissions (Location base)</t>
  </si>
  <si>
    <t>Scope 2 emissions (Market base)</t>
  </si>
  <si>
    <t>Scope 2 emissions (Undisclosed)</t>
  </si>
  <si>
    <t>Scope 2 (priority)</t>
  </si>
  <si>
    <t>Scope 1+2 (priority)</t>
  </si>
  <si>
    <t>Total</t>
  </si>
  <si>
    <t>Revenue</t>
  </si>
  <si>
    <t>RUB</t>
  </si>
  <si>
    <t>Revenue (currency)</t>
  </si>
  <si>
    <t>Company refers to Climate policies</t>
  </si>
  <si>
    <t>Paris Agreement commitment</t>
  </si>
  <si>
    <t>Paris Agreement commitment, Regional policies</t>
  </si>
  <si>
    <t>Regional policies</t>
  </si>
  <si>
    <t>Own operations</t>
  </si>
  <si>
    <t>Own operations, Upstream, Downstream</t>
  </si>
  <si>
    <t>Material emissions covered by transition plan</t>
  </si>
  <si>
    <t>None</t>
  </si>
  <si>
    <t>Part of periodic reports</t>
  </si>
  <si>
    <t>Comprehensive standalone document</t>
  </si>
  <si>
    <t>Transition plan publication</t>
  </si>
  <si>
    <t>Transition plan updated in the last 3 years</t>
  </si>
  <si>
    <t>S1+2</t>
  </si>
  <si>
    <t>Near-term</t>
  </si>
  <si>
    <t>To reduce controlled GHG emissions (Scope 1 + Scope 2) by 2030 at least by 20% compared to the 2017 level2: -17.7%.</t>
  </si>
  <si>
    <t>Not validated</t>
  </si>
  <si>
    <t>Long-term</t>
  </si>
  <si>
    <t>reaching net-zero greenhouse gas emissions (Scope 1 and Scope 2) by or before 2050.</t>
  </si>
  <si>
    <t>S3</t>
  </si>
  <si>
    <t>Target wording</t>
  </si>
  <si>
    <t>SBTi validation</t>
  </si>
  <si>
    <t>Year</t>
  </si>
  <si>
    <t>Reported S1+2 emissions</t>
  </si>
  <si>
    <t>Public</t>
  </si>
  <si>
    <t>PT_01402</t>
  </si>
  <si>
    <t>https://www.phosagro.com</t>
  </si>
  <si>
    <t>PT_00645</t>
  </si>
  <si>
    <t>Private</t>
  </si>
  <si>
    <t>https://cemros.ru</t>
  </si>
  <si>
    <t>PT_02399</t>
  </si>
  <si>
    <t>https://pik-group.com</t>
  </si>
  <si>
    <t>PT_02162</t>
  </si>
  <si>
    <t>https://www.rusagrogroup.ru</t>
  </si>
  <si>
    <t>PT_01115</t>
  </si>
  <si>
    <t>https://magnit-info.ru</t>
  </si>
  <si>
    <t>PT_01958</t>
  </si>
  <si>
    <t>https://www.x5.ru</t>
  </si>
  <si>
    <t>https://yandex.com</t>
  </si>
  <si>
    <t>PT_02822</t>
  </si>
  <si>
    <t>https://vk.company</t>
  </si>
  <si>
    <t>PT_02917</t>
  </si>
  <si>
    <t>PT_01298</t>
  </si>
  <si>
    <t>https://www.nornickel.com</t>
  </si>
  <si>
    <t>PT_01307</t>
  </si>
  <si>
    <t>https://nlmk.com</t>
  </si>
  <si>
    <t>PT_01567</t>
  </si>
  <si>
    <t>https://severstal.com</t>
  </si>
  <si>
    <t>PT_02084</t>
  </si>
  <si>
    <t>https://rusal.ru</t>
  </si>
  <si>
    <t>PT_02248</t>
  </si>
  <si>
    <t>https://polyus.com</t>
  </si>
  <si>
    <t>PT_00734</t>
  </si>
  <si>
    <t>https://www.gazprom.com</t>
  </si>
  <si>
    <t>PT_01102</t>
  </si>
  <si>
    <t>https://www.lukoil.com</t>
  </si>
  <si>
    <t>PT_01305</t>
  </si>
  <si>
    <t>https://www.novatek.ru</t>
  </si>
  <si>
    <t>PT_01498</t>
  </si>
  <si>
    <t>https://www.rosneft.com</t>
  </si>
  <si>
    <t>PT_01701</t>
  </si>
  <si>
    <t>https://www.surgutneftegas.ru</t>
  </si>
  <si>
    <t>PT_01734</t>
  </si>
  <si>
    <t>https://www.tatneft.ru</t>
  </si>
  <si>
    <t>PT_00032</t>
  </si>
  <si>
    <t>https://ir.aeroflot.com</t>
  </si>
  <si>
    <t>PT_01501</t>
  </si>
  <si>
    <t>Government</t>
  </si>
  <si>
    <t>https://www.rzd.ru</t>
  </si>
  <si>
    <t>PT_01147</t>
  </si>
  <si>
    <t>https://moscow.megafon.ru</t>
  </si>
  <si>
    <t>PT_01191</t>
  </si>
  <si>
    <t>http://ir.mts.ru</t>
  </si>
  <si>
    <t>PT_01502</t>
  </si>
  <si>
    <t>https://www.company.rt.ru</t>
  </si>
  <si>
    <t>PT_00914</t>
  </si>
  <si>
    <t>https://www.interrao.ru</t>
  </si>
  <si>
    <t>PT_01500</t>
  </si>
  <si>
    <t>https://www.rosseti.ru</t>
  </si>
  <si>
    <t>PT_02617</t>
  </si>
  <si>
    <t>http://www.mosvodokanal.ru</t>
  </si>
  <si>
    <t>ID</t>
  </si>
  <si>
    <t>Owneship</t>
  </si>
  <si>
    <t>Website</t>
  </si>
  <si>
    <t>Revenue in Billions</t>
  </si>
  <si>
    <t>No public disclosure</t>
  </si>
  <si>
    <t>Scope 1+2 (priority) in thousands tons</t>
  </si>
  <si>
    <t>Operational emissions (thousands CO2e)</t>
  </si>
  <si>
    <t>Millions CO2e</t>
  </si>
  <si>
    <t>Total operational GHG emissions from Russia's largets corporates in year 2024</t>
  </si>
  <si>
    <t>Russia Greenhouse Gas (GHG) Emissions - Worldometer</t>
  </si>
  <si>
    <t>Total territorial emissions in 2024</t>
  </si>
  <si>
    <t>Percentage of national GHG emissions associated with Russia's major corporates in 2024</t>
  </si>
  <si>
    <t>Total revenues from Russia's largets corporates in year 2024</t>
  </si>
  <si>
    <t>Billions RUB</t>
  </si>
  <si>
    <t>Revenues (Billion URB)</t>
  </si>
  <si>
    <t>Total economic output in 2024</t>
  </si>
  <si>
    <t>Russian economy grew to $2.4T in 2024, says premier</t>
  </si>
  <si>
    <t>Billions</t>
  </si>
  <si>
    <t>Percentage of national economic output associated with Russia's major corporates in 2024</t>
  </si>
  <si>
    <t>Total GHG emisisons globaly in 2024</t>
  </si>
  <si>
    <t>EDGAR - The Emissions Database for Global Atmospheric Research</t>
  </si>
  <si>
    <t>Gt</t>
  </si>
  <si>
    <t>No LULUCF</t>
  </si>
  <si>
    <t>Percentage of Globa GHG emissions associated with Russia's major corporates in 2024</t>
  </si>
  <si>
    <t>Employees</t>
  </si>
  <si>
    <t>Data Year</t>
  </si>
  <si>
    <t>Notes</t>
  </si>
  <si>
    <t>~21,600</t>
  </si>
  <si>
    <t>2024</t>
  </si>
  <si>
    <t>PitchBook; official sites show 10,000+</t>
  </si>
  <si>
    <t>~13,000</t>
  </si>
  <si>
    <t>2025</t>
  </si>
  <si>
    <t>Reuters Oct 2025 (company spokesman)</t>
  </si>
  <si>
    <t>2022</t>
  </si>
  <si>
    <t>Wikipedia; parent entity ~1,700</t>
  </si>
  <si>
    <t>~15,000–20,000</t>
  </si>
  <si>
    <t>Est. based on group scale; not publicly disclosed</t>
  </si>
  <si>
    <t>386,000</t>
  </si>
  <si>
    <t>Official company website (magnit.com)</t>
  </si>
  <si>
    <t>~416,000–432,000</t>
  </si>
  <si>
    <t>GlobalData / PitchBook</t>
  </si>
  <si>
    <t>~28,000</t>
  </si>
  <si>
    <t>~25,127 Russian entity + international staff</t>
  </si>
  <si>
    <t>~5,000–10,000</t>
  </si>
  <si>
    <t>Privately held; limited public disclosure</t>
  </si>
  <si>
    <t>~78,700</t>
  </si>
  <si>
    <t>2024 Annual Report (avg. headcount)</t>
  </si>
  <si>
    <t>~44,400–53,000</t>
  </si>
  <si>
    <t>2023</t>
  </si>
  <si>
    <t>Sustainability Report 2023 (44,400); older ~53,000</t>
  </si>
  <si>
    <t>~26,600</t>
  </si>
  <si>
    <t>PitchBook</t>
  </si>
  <si>
    <t>~61,000</t>
  </si>
  <si>
    <t>Wikipedia / company data</t>
  </si>
  <si>
    <t>~20,400</t>
  </si>
  <si>
    <t>Owler</t>
  </si>
  <si>
    <t>~468,000–500,000</t>
  </si>
  <si>
    <t>2021</t>
  </si>
  <si>
    <t>~468K (TradingEcon 2021); 2024 behind paywall</t>
  </si>
  <si>
    <t>~109,000</t>
  </si>
  <si>
    <t>~6,000–17,000</t>
  </si>
  <si>
    <t>2020</t>
  </si>
  <si>
    <t>~17K (2020); limited recent disclosure</t>
  </si>
  <si>
    <t>~320,000</t>
  </si>
  <si>
    <t>GlobalData (2024)</t>
  </si>
  <si>
    <t>~112,000</t>
  </si>
  <si>
    <t>~65,000</t>
  </si>
  <si>
    <t>~33,500</t>
  </si>
  <si>
    <t>Official statement to Kremlin, April 2025</t>
  </si>
  <si>
    <t>~700,000</t>
  </si>
  <si>
    <t>Reuters, Oct 2025</t>
  </si>
  <si>
    <t>~30,000</t>
  </si>
  <si>
    <t>Est.; company does not widely publish recent figures</t>
  </si>
  <si>
    <t>~80,000</t>
  </si>
  <si>
    <t>Est. based on company scale</t>
  </si>
  <si>
    <t>~130,000+</t>
  </si>
  <si>
    <t>Group-level est.; parent entity only ~9,613 (PitchBook)</t>
  </si>
  <si>
    <t>~55,000–60,000</t>
  </si>
  <si>
    <t>Est. based on group size</t>
  </si>
  <si>
    <t>~216,000</t>
  </si>
  <si>
    <t>LinkedIn official page</t>
  </si>
  <si>
    <t>~14,000–17,000</t>
  </si>
  <si>
    <t>Moscow water utility; limited public data</t>
  </si>
  <si>
    <t>27 companies</t>
  </si>
  <si>
    <t>Approximate total</t>
  </si>
  <si>
    <t>workers</t>
  </si>
  <si>
    <t>Total russia population in working age</t>
  </si>
  <si>
    <t>World Economics | Economic data for the benefit of investors</t>
  </si>
  <si>
    <t>Total workers employed by Russia's major corporates</t>
  </si>
  <si>
    <t>Percentage of national working age population employed by Russia's major corporates</t>
  </si>
  <si>
    <t>S3.15</t>
  </si>
  <si>
    <t>S1</t>
  </si>
  <si>
    <t>S2</t>
  </si>
  <si>
    <t>S3.01</t>
  </si>
  <si>
    <t>S3.02</t>
  </si>
  <si>
    <t>S3.03</t>
  </si>
  <si>
    <t>S3.04</t>
  </si>
  <si>
    <t>S3.05</t>
  </si>
  <si>
    <t>S3.06</t>
  </si>
  <si>
    <t>S3.07</t>
  </si>
  <si>
    <t>S3.08</t>
  </si>
  <si>
    <t>S3.09</t>
  </si>
  <si>
    <t>S3.10</t>
  </si>
  <si>
    <t>S3.11</t>
  </si>
  <si>
    <t>S3.12</t>
  </si>
  <si>
    <t>S3.13</t>
  </si>
  <si>
    <t>S3.14</t>
  </si>
  <si>
    <t>S2.MB</t>
  </si>
  <si>
    <t>S2.LB</t>
  </si>
  <si>
    <t>Scope 1</t>
  </si>
  <si>
    <t>Scope 2 (any)</t>
  </si>
  <si>
    <t>Scope 2 (location based)</t>
  </si>
  <si>
    <t>Scope 2 (market based)</t>
  </si>
  <si>
    <t>Purchased goods and services</t>
  </si>
  <si>
    <t>Capital goods</t>
  </si>
  <si>
    <t>Upstream transportation and distribution</t>
  </si>
  <si>
    <t>Waste generated in operations</t>
  </si>
  <si>
    <t>Business travel</t>
  </si>
  <si>
    <t>Employee commuting</t>
  </si>
  <si>
    <t>Upstream leased assets</t>
  </si>
  <si>
    <t>Downstream transportation and distribution</t>
  </si>
  <si>
    <t>Processing of sold products</t>
  </si>
  <si>
    <t>Use of sold products</t>
  </si>
  <si>
    <t>End-of-life treatment of sold products</t>
  </si>
  <si>
    <t>Downstream leased assets</t>
  </si>
  <si>
    <t>Franchises</t>
  </si>
  <si>
    <t>Investments</t>
  </si>
  <si>
    <t>% reporting</t>
  </si>
  <si>
    <t># reporting</t>
  </si>
  <si>
    <t>Category</t>
  </si>
  <si>
    <t>Emissions discolure per category in 2024</t>
  </si>
  <si>
    <t>Methedology reported</t>
  </si>
  <si>
    <t>GHG Protocol</t>
  </si>
  <si>
    <t>ISO 14064-1</t>
  </si>
  <si>
    <t>Other</t>
  </si>
  <si>
    <t>No reporting</t>
  </si>
  <si>
    <t>Fuel- and energy-related activities</t>
  </si>
  <si>
    <t>Scope 1+2</t>
  </si>
  <si>
    <t>Scope 3</t>
  </si>
  <si>
    <t>Undisclosed</t>
  </si>
  <si>
    <t>Valid</t>
  </si>
  <si>
    <t>Goal to 2030 Reduce GHG emissions (Scope 1 and 2) per sqm of selling space by 30% compared with 2019 through improved energy efficiency.</t>
  </si>
  <si>
    <t>Intensity</t>
  </si>
  <si>
    <t>Reduce scopes 1+2 GHG Emissions by 14% and 30% by 2025 and 2030, respectively.</t>
  </si>
  <si>
    <t>Absolute</t>
  </si>
  <si>
    <t>Severstal’s Decarbonisation Strategy sets forth voluntary obligations to reduce the CO2 intensity of steel production by 3% in 2024 (short-term goal) and by 10% in 2030 (mid-term goal) against the 2020 baseline.</t>
  </si>
  <si>
    <t>Target GHG emissions per unit of transportation2, kg of CO2 equivalent / 10,000 gross virtual tkm 30 Innovative scenario –7.9%. 2019 baseyear.</t>
  </si>
  <si>
    <t>Target GHG emissions per unit of transportation2, kg of CO2 equivalent / 10,000 gross virtual tkm 2035 –11% 2019 baseyear.</t>
  </si>
  <si>
    <t>RUSAL 's targets: By 2035 reduce specific GHG emissions from all production facilities (processes under the Company's operational control) for Scopes 1 and 2 by 23% (without regard to offsetting measures) per tonne of metal compared to the 2018 baseline</t>
  </si>
  <si>
    <t>By 2050: Reduce GHG emissions from production by electrolysis for Scopes 1 and 2 by 99% (without regard to offsetting measures) per tonne of metal compared to the 2018 baseline.</t>
  </si>
  <si>
    <t>The Company plans to achieve its strategic goal through a comprehensive suite of greenhouse gas reduction solutions:_x000D_
_x000D_
A more than 25% reduction in Scope 1 and 2 emissions by 2035 as compared to 2020_x000D_
_x000D_
SR2024, p.114_x000D_
_x000D_
&lt;https://www.rosneft.com/upload/site2/attach/0/87/12/Rosneft_SR2024_ENG.pdf&gt;</t>
  </si>
  <si>
    <t>NA</t>
  </si>
  <si>
    <t>The Company aims to achieve carbon neutrality by 2050 for its Scope 1 and Scope 2 emissions.</t>
  </si>
  <si>
    <t>By 2032 reduce direct and energy-related indirect GHG emissions intensity per tonne of processed ore to 40–50%* * of the 2020 volume.</t>
  </si>
  <si>
    <t>By 2050 achieve Net Zero – zero Scope 1 and Scope 2 emissions.</t>
  </si>
  <si>
    <t>OUR TARGETS Reduce gross GHG emissions (Scope 1, 2, 3) by 14 % by 2028 vs 2018.</t>
  </si>
  <si>
    <t>Reducing GHG emissions intensity in the upstream segment by 6% (to 11.71 tons of CO2 eq. / mboe) from a 2019 baseline by 2030, tons of CO2.</t>
  </si>
  <si>
    <t>Target emission for NLMK Group in Scopes 1+2 – 2.27 t of CO2 / t of steel (or 2.12 t of CO2 / t of iron1 ) by 2030.</t>
  </si>
  <si>
    <t>NLMK Group has set long-term goals to reduce specific emissions (Scope 1+2) by 2050 to 1.2 t of CO2 / t of steel (−40% of the current intensity) with a full transition to HBI+EAF using the Group's captive iron ore, as well as procurement of natural gas and electricity at current levels of carbon intensity.</t>
  </si>
  <si>
    <t>Valid Near-term S1+2</t>
  </si>
  <si>
    <t>Valid Near-term S3</t>
  </si>
  <si>
    <t>Valid Long-term S3</t>
  </si>
  <si>
    <t>Any near-term S1+2</t>
  </si>
  <si>
    <t>Any near-term S3</t>
  </si>
  <si>
    <t>Valid Long-term S1+2</t>
  </si>
  <si>
    <t>Valid targets</t>
  </si>
  <si>
    <t>% of total</t>
  </si>
  <si>
    <t>Average ambition</t>
  </si>
  <si>
    <t>Scope 1+2 pathway for companies involved in oil and gas extraction and production. It results in emission reductions from direct operation of approximately 60% for oil and 65% for gas by 2030, compared to 2022 levels as in IEA 2023.</t>
  </si>
  <si>
    <t>https://www.oecd.org/content/dam/oecd/en/publications/reports/2023/05/emissions-from-oil-and-gas-operations-in-net-zero-transitions_251e2aaa/317cbf59-en.pdf</t>
  </si>
  <si>
    <t>metric tons</t>
  </si>
  <si>
    <t>Scope</t>
  </si>
  <si>
    <t>Base year</t>
  </si>
  <si>
    <t>Target tear</t>
  </si>
  <si>
    <t>% reduction</t>
  </si>
  <si>
    <t>Base emissions</t>
  </si>
  <si>
    <t>Target emissions</t>
  </si>
  <si>
    <t>Target type</t>
  </si>
  <si>
    <t>Scorable</t>
  </si>
  <si>
    <t>Activity unit</t>
  </si>
  <si>
    <t>Intensity unit</t>
  </si>
  <si>
    <t>S1+2 targets</t>
  </si>
  <si>
    <t>1.5 pathway for scope 1+2</t>
  </si>
  <si>
    <t>Scope 3 emissions</t>
  </si>
  <si>
    <t>% reductions for Oil and Gas scope 1+2 emissions</t>
  </si>
  <si>
    <t>% reductions for Oil and Gas scope 3 emissions</t>
  </si>
  <si>
    <t>1.5 pathway for scope 3</t>
  </si>
  <si>
    <t>Scope 1+2 pathway details</t>
  </si>
  <si>
    <t>Scope 3 pathway details</t>
  </si>
  <si>
    <t>Scope 3 pathway for companies selling oil and gas products. The pathway leads to emission reductions associated with the company’s products of approximately 30% by 2030, compared to 2019 levels.</t>
  </si>
  <si>
    <t>Source</t>
  </si>
  <si>
    <t>https://www.uts.edu.au/globalassets/sites/default/files/2022-07/2622-uts-limit-global-warming-report-mr-05b_upload64.pdf</t>
  </si>
  <si>
    <t>Observed change per year in Scope 1+2 emissions</t>
  </si>
  <si>
    <t>Required reductions of scope 1+2 per year over the next 5 years</t>
  </si>
  <si>
    <t>Scope 1+2 difference to pathway</t>
  </si>
  <si>
    <t>Scope 3 difference to pathway</t>
  </si>
  <si>
    <t>Scope 1+2 carbon debt</t>
  </si>
  <si>
    <t>Scope 3 carbon debt</t>
  </si>
  <si>
    <t>Climate targets</t>
  </si>
  <si>
    <t>Target appraisal</t>
  </si>
  <si>
    <t xml:space="preserve">Total CapEX </t>
  </si>
  <si>
    <t>Currency</t>
  </si>
  <si>
    <t>Total CapEX in Low carbon technologies</t>
  </si>
  <si>
    <t>Low carbon investments and technologies</t>
  </si>
  <si>
    <t>Renewable power generation</t>
  </si>
  <si>
    <t>Unit</t>
  </si>
  <si>
    <t>Mwh</t>
  </si>
  <si>
    <t>Percentage of renewable electric energy in total electric energy generated</t>
  </si>
  <si>
    <t>/</t>
  </si>
  <si>
    <t>A Decarbonization Lab has been established at LLC LINK (ISC in the Refining and Distribution business segment) to develop projects aimed to cut GHG emissions from the Company’s oil refining, petrochemical and gas chemical facilities, reduce the carbon footprint, and improve the energy efficiency of refining facilities, produce biofuels, use recyclables and process polymer waste, ‘green chemistry’, and other areas.</t>
  </si>
  <si>
    <t>Reported low carbon activities</t>
  </si>
  <si>
    <t>Assessment of the possibility of using hydrogen in the production of low-carbon products, conversion of CO2 into chemical products</t>
  </si>
  <si>
    <t>The New jet fuels project (R&amp;D stage). Provided the entry into force in 2027 of CORSIA1 requirements on aviation fuels, the possibility of producing SAF and LCAF jet fuels at LUKOIL Group’s Russian refineries was assessed.</t>
  </si>
  <si>
    <t>Stage</t>
  </si>
  <si>
    <t>R&amp;D</t>
  </si>
  <si>
    <t>Ongoing</t>
  </si>
  <si>
    <t>Prospective</t>
  </si>
  <si>
    <t>Climate governance</t>
  </si>
  <si>
    <t>Percentage of income from sales of renewable electric energy</t>
  </si>
  <si>
    <t>Low-carbon CapEx ratio</t>
  </si>
  <si>
    <t>Sustainability issues are consistently on the agenda of the Board of Directors meetings, ensuring due attention and timely responses to both risks and opportunities. The Board of Directors comprises persons possessing knowledge, professional skills, and experience relevant to their authority and issues under consideration. To inform members of the Board of Directors in a timely manner, subject-matter reports are submitted for their consideration. For example, in 2024, a report on renewable energy sources (RES) project implementation at LUKOIL Group was presented at one of the meetings. Issues related to the preparation and approval of the Sustainability Report are heard annually at the Board of Directors meetings.</t>
  </si>
  <si>
    <t xml:space="preserve">LUKOIL Group considers the implementation of renewable energy projects as one of the important aspects of the Decarbonization Program. More than 90% of the installed capacity of own generation facilities, including hydroelectric power plants and wind farms, is attributable to commercial generation. Projects for the construction of solar power plants (SPPs) are currently carried out at production facilities (filling stations and oil depots, as well as free areas of refineries and power plants). </t>
  </si>
  <si>
    <t xml:space="preserve">In 2024 about 1.5 billion kWh of renewable energy was transferred to production and oil refining entities and petrochemical complexes. As a result, the share of green electricity in industrial consumption, for example at LLC LUKOILWest Siberia, exceeded 30%. </t>
  </si>
  <si>
    <t>Emissions profile and disclosure</t>
  </si>
  <si>
    <t>Scope 2</t>
  </si>
  <si>
    <t>Tons CO2e</t>
  </si>
  <si>
    <t>Downstream Transportation and Distribution</t>
  </si>
  <si>
    <t>S1+2 share</t>
  </si>
  <si>
    <t>Total 1+2+3</t>
  </si>
  <si>
    <t>S3 share</t>
  </si>
  <si>
    <t>Disclosure framework</t>
  </si>
  <si>
    <t>GHG protocol</t>
  </si>
  <si>
    <t>Verification</t>
  </si>
  <si>
    <t>External limited assurance</t>
  </si>
  <si>
    <t>Reported governance</t>
  </si>
  <si>
    <t>Main reporting sources</t>
  </si>
  <si>
    <t>Sustainbility report</t>
  </si>
  <si>
    <t>CDP report</t>
  </si>
  <si>
    <t>Sustainability Report</t>
  </si>
  <si>
    <t>Ratings and initiatives</t>
  </si>
  <si>
    <t>Sustainable Development Approach</t>
  </si>
  <si>
    <t xml:space="preserve">Lukoil has yet to publish its 2025 Sustainability report but its expected to do so in Jully 2026. </t>
  </si>
  <si>
    <t>Note on current sustainability disclosure</t>
  </si>
  <si>
    <t>Tonnes crude steel</t>
  </si>
  <si>
    <t>Fuel and energy (not in S1+2)</t>
  </si>
  <si>
    <t>S1+2 pathway to use for steel producer companies such as those in the Heavy Industries benchmark 2024 with large shares of production from ARC-furnaces. The pathway leads to 2030 emissions about 50% lower than those in year 2019.</t>
  </si>
  <si>
    <t>https://link.springer.com/article/10.1007/s42452-022-05004-0</t>
  </si>
  <si>
    <t>% reductions for Steel scope 1+2 emissions</t>
  </si>
  <si>
    <t>Corss sectoral Scope 3 % reductions pathway</t>
  </si>
  <si>
    <t>This pathway can be used to assess Scope 3 of companies when no specific sectoral pathway is available. Note that it considers all gases emissions reductions in terms of CO₂e.</t>
  </si>
  <si>
    <t>https://www.unepfi.org/wordpress/wp-content/uploads/2022/05/UTS_Limit-global-warming_Sectoral-Pathways-and-Key-KPIs.pdf</t>
  </si>
  <si>
    <t>Sustainability reports</t>
  </si>
  <si>
    <t>Integrated report</t>
  </si>
  <si>
    <t>Severstal has yet to publish its 2025 integrated report but its expected to do so in Q3 2026. The last dedicated climate report dates from 2022 but the copmany continues publishing relevant climate data via its annual integrated report.</t>
  </si>
  <si>
    <t>% of renewable and carbon-free sources</t>
  </si>
  <si>
    <t>Total electricity consumption</t>
  </si>
  <si>
    <t>TJ</t>
  </si>
  <si>
    <t>Company follows the Decarbonisation Strategy 2030 approved by the Board of Directors in 2023, and in the reporting year elaborated and approved the Conserve Biodiversity – Preserve Life Strategy.</t>
  </si>
  <si>
    <t>Electric arc furnace steelmaking capacity</t>
  </si>
  <si>
    <t>Basic oxygen furnace steelmaking capacity</t>
  </si>
  <si>
    <t>source</t>
  </si>
  <si>
    <t>Severstal Cherepovets steel plant - Global Energy Monitor</t>
  </si>
  <si>
    <t>% of EAF capacity at the Severstal Cherepovets steel plant in 2024</t>
  </si>
  <si>
    <t>Rolling production upgrade (replacement of reheating furnaces Nos. 1 and 2)</t>
  </si>
  <si>
    <t xml:space="preserve">Programme for 95% of in-house electricity generation 
in total consumption (upgrade of steam turbines, 
construction of the boiler plant with boiler unit No. 11, </t>
  </si>
  <si>
    <t>Retrofitting of the solid fuel preparation unit</t>
  </si>
  <si>
    <t>Creation of a Blast Furnace Expert System</t>
  </si>
  <si>
    <t>Overhaul of blast furnace No. 5</t>
  </si>
  <si>
    <t>implemented</t>
  </si>
  <si>
    <t>Decarbonisation  actions taken between 2020 and 2024</t>
  </si>
  <si>
    <t>emissions reduction in thousand tonnes of CO2e per year</t>
  </si>
  <si>
    <t>The commissioning of boiler unit No. 11 ensures an increased recycling of blast furnace gas and its share in the fuel balance, which will lead to a decreased natural gas combustion and the resulting reduction in Scope 1 GHG emissions. In addition, the project will increase the Company’s in-house electricity generation to enable it to purchase less energy from third-party suppliers and, thus, reduce Scope 2 GHG emissions. The total expected emissions reduction over a ten-year period is 1.8 million tonnes of CO2 e</t>
  </si>
  <si>
    <t>Comissioning</t>
  </si>
  <si>
    <t>S3 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</si>
</sst>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1" x14ac:knownFonts="1">
    <font>
      <sz val="11"/>
      <color theme="1"/>
      <name val="Calibri"/>
      <family val="2"/>
      <scheme val="minor"/>
    </font>
    <font>
      <b/>
      <sz val="11"/>
      <color theme="1"/>
      <name val="Calibri"/>
      <family val="2"/>
      <scheme val="minor"/>
    </font>
    <font>
      <u/>
      <sz val="11"/>
      <color theme="10"/>
      <name val="Calibri"/>
      <family val="2"/>
      <scheme val="minor"/>
    </font>
    <font>
      <b/>
      <sz val="10"/>
      <color rgb="FFFFFFFF"/>
      <name val="Arial"/>
      <family val="2"/>
    </font>
    <font>
      <sz val="9"/>
      <name val="Arial"/>
      <family val="2"/>
    </font>
    <font>
      <sz val="8"/>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
      <i/>
      <sz val="11"/>
      <color rgb="FF7F7F7F"/>
      <name val="Calibri"/>
      <family val="2"/>
      <scheme val="minor"/>
    </font>
    <font>
      <b/>
      <sz val="11"/>
      <color rgb="FF3F3F76"/>
      <name val="Calibri"/>
      <family val="2"/>
      <scheme val="minor"/>
    </font>
  </fonts>
  <fills count="9">
    <fill>
      <patternFill patternType="none"/>
    </fill>
    <fill>
      <patternFill patternType="gray125"/>
    </fill>
    <fill>
      <patternFill patternType="solid">
        <fgColor rgb="FF1F3864"/>
      </patternFill>
    </fill>
    <fill>
      <patternFill patternType="solid">
        <fgColor rgb="FF2E74B5"/>
      </patternFill>
    </fill>
    <fill>
      <patternFill patternType="solid">
        <fgColor rgb="FFEBF0F8"/>
      </patternFill>
    </fill>
    <fill>
      <patternFill patternType="solid">
        <fgColor rgb="FFFFFFFF"/>
      </patternFill>
    </fill>
    <fill>
      <patternFill patternType="solid">
        <fgColor rgb="FFFFCC99"/>
      </patternFill>
    </fill>
    <fill>
      <patternFill patternType="solid">
        <fgColor rgb="FFF2F2F2"/>
      </patternFill>
    </fill>
    <fill>
      <patternFill patternType="solid">
        <fgColor theme="8" tint="0.39997558519241921"/>
        <bgColor indexed="65"/>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7F7F7F"/>
      </left>
      <right style="thin">
        <color rgb="FF7F7F7F"/>
      </right>
      <top style="thin">
        <color rgb="FF7F7F7F"/>
      </top>
      <bottom style="thin">
        <color rgb="FF7F7F7F"/>
      </bottom>
      <diagonal/>
    </border>
  </borders>
  <cellStyleXfs count="6">
    <xf numFmtId="0" fontId="0" fillId="0" borderId="0"/>
    <xf numFmtId="0" fontId="2" fillId="0" borderId="0" applyNumberFormat="0" applyFill="0" applyBorder="0" applyAlignment="0" applyProtection="0"/>
    <xf numFmtId="0" fontId="7" fillId="6" borderId="2" applyNumberFormat="0" applyAlignment="0" applyProtection="0"/>
    <xf numFmtId="0" fontId="8" fillId="7" borderId="2" applyNumberFormat="0" applyAlignment="0" applyProtection="0"/>
    <xf numFmtId="0" fontId="9" fillId="0" borderId="0" applyNumberFormat="0" applyFill="0" applyBorder="0" applyAlignment="0" applyProtection="0"/>
    <xf numFmtId="0" fontId="6" fillId="8" borderId="0" applyNumberFormat="0" applyBorder="0" applyAlignment="0" applyProtection="0"/>
  </cellStyleXfs>
  <cellXfs count="44">
    <xf numFmtId="0" fontId="0" fillId="0" borderId="0" xfId="0"/>
    <xf numFmtId="2" fontId="0" fillId="0" borderId="0" xfId="0" applyNumberFormat="1"/>
    <xf numFmtId="0" fontId="1" fillId="0" borderId="0" xfId="0" applyFont="1"/>
    <xf numFmtId="0" fontId="1" fillId="0" borderId="0" xfId="0" applyFont="1" applyAlignment="1">
      <alignment horizontal="center"/>
    </xf>
    <xf numFmtId="0" fontId="0" fillId="0" borderId="0" xfId="0" applyAlignment="1">
      <alignment horizontal="left"/>
    </xf>
    <xf numFmtId="1" fontId="0" fillId="0" borderId="0" xfId="0" applyNumberFormat="1"/>
    <xf numFmtId="1" fontId="0" fillId="0" borderId="0" xfId="0" applyNumberFormat="1" applyAlignment="1">
      <alignment horizontal="center"/>
    </xf>
    <xf numFmtId="0" fontId="0" fillId="0" borderId="0" xfId="0" applyAlignment="1">
      <alignment horizontal="center"/>
    </xf>
    <xf numFmtId="0" fontId="2" fillId="0" borderId="0" xfId="1"/>
    <xf numFmtId="164" fontId="0" fillId="0" borderId="0" xfId="0" applyNumberFormat="1" applyAlignment="1">
      <alignment horizontal="center"/>
    </xf>
    <xf numFmtId="164" fontId="0" fillId="0" borderId="0" xfId="0" applyNumberFormat="1"/>
    <xf numFmtId="0" fontId="3"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vertical="center"/>
    </xf>
    <xf numFmtId="0" fontId="4" fillId="5" borderId="1" xfId="0" applyFont="1" applyFill="1" applyBorder="1" applyAlignment="1">
      <alignment vertical="center" wrapText="1"/>
    </xf>
    <xf numFmtId="0" fontId="3" fillId="2" borderId="0" xfId="0" applyFont="1" applyFill="1" applyAlignment="1">
      <alignment horizontal="center" vertical="center"/>
    </xf>
    <xf numFmtId="165" fontId="0" fillId="0" borderId="0" xfId="0" applyNumberFormat="1"/>
    <xf numFmtId="0" fontId="0" fillId="0" borderId="0" xfId="0" applyAlignment="1">
      <alignment horizontal="right"/>
    </xf>
    <xf numFmtId="166" fontId="0" fillId="0" borderId="0" xfId="0" applyNumberFormat="1"/>
    <xf numFmtId="9" fontId="0" fillId="0" borderId="0" xfId="0" applyNumberFormat="1"/>
    <xf numFmtId="0" fontId="0" fillId="0" borderId="0" xfId="0" applyAlignment="1">
      <alignment wrapText="1"/>
    </xf>
    <xf numFmtId="10" fontId="0" fillId="0" borderId="0" xfId="0" applyNumberFormat="1"/>
    <xf numFmtId="3" fontId="0" fillId="0" borderId="0" xfId="0" applyNumberFormat="1" applyAlignment="1">
      <alignment horizontal="left"/>
    </xf>
    <xf numFmtId="0" fontId="1" fillId="0" borderId="0" xfId="0" applyFont="1" applyAlignment="1">
      <alignment horizontal="left"/>
    </xf>
    <xf numFmtId="2" fontId="0" fillId="0" borderId="0" xfId="0" applyNumberFormat="1" applyAlignment="1">
      <alignment horizontal="left"/>
    </xf>
    <xf numFmtId="3" fontId="0" fillId="0" borderId="0" xfId="0" applyNumberFormat="1"/>
    <xf numFmtId="0" fontId="7" fillId="6" borderId="2" xfId="2" applyAlignment="1">
      <alignment horizontal="left"/>
    </xf>
    <xf numFmtId="0" fontId="10" fillId="6" borderId="2" xfId="2" applyFont="1" applyAlignment="1">
      <alignment horizontal="left"/>
    </xf>
    <xf numFmtId="0" fontId="8" fillId="7" borderId="2" xfId="3" applyAlignment="1">
      <alignment horizontal="left"/>
    </xf>
    <xf numFmtId="0" fontId="8" fillId="7" borderId="2" xfId="3"/>
    <xf numFmtId="0" fontId="2" fillId="0" borderId="0" xfId="1" applyAlignment="1">
      <alignment horizontal="left"/>
    </xf>
    <xf numFmtId="0" fontId="6" fillId="8" borderId="0" xfId="5" applyAlignment="1">
      <alignment horizontal="left"/>
    </xf>
    <xf numFmtId="0" fontId="6" fillId="8" borderId="0" xfId="5"/>
    <xf numFmtId="0" fontId="1" fillId="8" borderId="0" xfId="5" applyFont="1" applyAlignment="1">
      <alignment horizontal="left"/>
    </xf>
    <xf numFmtId="0" fontId="9" fillId="0" borderId="0" xfId="4" applyAlignment="1">
      <alignment horizontal="left"/>
    </xf>
    <xf numFmtId="0" fontId="9" fillId="0" borderId="0" xfId="4"/>
    <xf numFmtId="0" fontId="7" fillId="6" borderId="2" xfId="2"/>
    <xf numFmtId="0" fontId="3" fillId="2" borderId="0" xfId="0" applyFont="1" applyFill="1" applyAlignment="1">
      <alignment horizontal="center" vertical="center"/>
    </xf>
    <xf numFmtId="0" fontId="0" fillId="0" borderId="0" xfId="0"/>
    <xf numFmtId="0" fontId="0" fillId="0" borderId="0" xfId="0" applyAlignment="1"/>
    <xf numFmtId="2" fontId="0" fillId="0" borderId="0" xfId="0" applyNumberFormat="1" applyAlignment="1">
      <alignment horizontal="right" indent="1"/>
    </xf>
  </cellXfs>
  <cellStyles count="6">
    <cellStyle name="60% - Accent5" xfId="5" builtinId="48"/>
    <cellStyle name="Calculation" xfId="3" builtinId="22"/>
    <cellStyle name="Explanatory Text" xfId="4" builtinId="53"/>
    <cellStyle name="Hyperlink" xfId="1" builtinId="8"/>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68003938961724075"/>
          <c:y val="3.0588235294117649E-2"/>
          <c:w val="0.26162740079326319"/>
          <c:h val="0.89770208429828624"/>
        </c:manualLayout>
      </c:layout>
      <c:barChart>
        <c:barDir val="bar"/>
        <c:grouping val="clustered"/>
        <c:varyColors val="0"/>
        <c:ser>
          <c:idx val="0"/>
          <c:order val="0"/>
          <c:tx>
            <c:strRef>
              <c:f>'GHG disclosure'!$I$31</c:f>
              <c:strCache>
                <c:ptCount val="1"/>
                <c:pt idx="0">
                  <c:v>% reporting</c:v>
                </c:pt>
              </c:strCache>
            </c:strRef>
          </c:tx>
          <c:spPr>
            <a:solidFill>
              <a:schemeClr val="accent4"/>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BA34-44B1-A289-39C8EF298407}"/>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BA34-44B1-A289-39C8EF29840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5-BA34-44B1-A289-39C8EF298407}"/>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7-BA34-44B1-A289-39C8EF298407}"/>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2-223B-492B-9671-3F044D98ED80}"/>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3-223B-492B-9671-3F044D98ED80}"/>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4-223B-492B-9671-3F044D98ED80}"/>
              </c:ext>
            </c:extLst>
          </c:dPt>
          <c:dPt>
            <c:idx val="8"/>
            <c:invertIfNegative val="0"/>
            <c:bubble3D val="0"/>
            <c:spPr>
              <a:solidFill>
                <a:schemeClr val="accent5">
                  <a:lumMod val="75000"/>
                </a:schemeClr>
              </a:solidFill>
              <a:ln>
                <a:noFill/>
              </a:ln>
              <a:effectLst/>
            </c:spPr>
            <c:extLst>
              <c:ext xmlns:c16="http://schemas.microsoft.com/office/drawing/2014/chart" uri="{C3380CC4-5D6E-409C-BE32-E72D297353CC}">
                <c16:uniqueId val="{00000005-223B-492B-9671-3F044D98ED80}"/>
              </c:ext>
            </c:extLst>
          </c:dPt>
          <c:dPt>
            <c:idx val="15"/>
            <c:invertIfNegative val="0"/>
            <c:bubble3D val="0"/>
            <c:spPr>
              <a:solidFill>
                <a:schemeClr val="accent2">
                  <a:lumMod val="75000"/>
                </a:schemeClr>
              </a:solidFill>
              <a:ln>
                <a:noFill/>
              </a:ln>
              <a:effectLst/>
            </c:spPr>
            <c:extLst>
              <c:ext xmlns:c16="http://schemas.microsoft.com/office/drawing/2014/chart" uri="{C3380CC4-5D6E-409C-BE32-E72D297353CC}">
                <c16:uniqueId val="{0000000B-223B-492B-9671-3F044D98ED80}"/>
              </c:ext>
            </c:extLst>
          </c:dPt>
          <c:dPt>
            <c:idx val="16"/>
            <c:invertIfNegative val="0"/>
            <c:bubble3D val="0"/>
            <c:spPr>
              <a:solidFill>
                <a:schemeClr val="accent2">
                  <a:lumMod val="75000"/>
                </a:schemeClr>
              </a:solidFill>
              <a:ln>
                <a:noFill/>
              </a:ln>
              <a:effectLst/>
            </c:spPr>
            <c:extLst>
              <c:ext xmlns:c16="http://schemas.microsoft.com/office/drawing/2014/chart" uri="{C3380CC4-5D6E-409C-BE32-E72D297353CC}">
                <c16:uniqueId val="{0000000C-223B-492B-9671-3F044D98ED80}"/>
              </c:ext>
            </c:extLst>
          </c:dPt>
          <c:dPt>
            <c:idx val="17"/>
            <c:invertIfNegative val="0"/>
            <c:bubble3D val="0"/>
            <c:spPr>
              <a:solidFill>
                <a:schemeClr val="accent2">
                  <a:lumMod val="75000"/>
                </a:schemeClr>
              </a:solidFill>
              <a:ln>
                <a:noFill/>
              </a:ln>
              <a:effectLst/>
            </c:spPr>
            <c:extLst>
              <c:ext xmlns:c16="http://schemas.microsoft.com/office/drawing/2014/chart" uri="{C3380CC4-5D6E-409C-BE32-E72D297353CC}">
                <c16:uniqueId val="{0000000D-223B-492B-9671-3F044D98ED80}"/>
              </c:ext>
            </c:extLst>
          </c:dPt>
          <c:dPt>
            <c:idx val="18"/>
            <c:invertIfNegative val="0"/>
            <c:bubble3D val="0"/>
            <c:spPr>
              <a:solidFill>
                <a:schemeClr val="accent2">
                  <a:lumMod val="75000"/>
                </a:schemeClr>
              </a:solidFill>
              <a:ln>
                <a:noFill/>
              </a:ln>
              <a:effectLst/>
            </c:spPr>
            <c:extLst>
              <c:ext xmlns:c16="http://schemas.microsoft.com/office/drawing/2014/chart" uri="{C3380CC4-5D6E-409C-BE32-E72D297353CC}">
                <c16:uniqueId val="{0000000E-223B-492B-9671-3F044D98ED80}"/>
              </c:ext>
            </c:extLst>
          </c:dPt>
          <c:dPt>
            <c:idx val="19"/>
            <c:invertIfNegative val="0"/>
            <c:bubble3D val="0"/>
            <c:spPr>
              <a:solidFill>
                <a:schemeClr val="accent2">
                  <a:lumMod val="75000"/>
                </a:schemeClr>
              </a:solidFill>
              <a:ln>
                <a:noFill/>
              </a:ln>
              <a:effectLst/>
            </c:spPr>
            <c:extLst>
              <c:ext xmlns:c16="http://schemas.microsoft.com/office/drawing/2014/chart" uri="{C3380CC4-5D6E-409C-BE32-E72D297353CC}">
                <c16:uniqueId val="{0000000F-223B-492B-9671-3F044D98ED80}"/>
              </c:ext>
            </c:extLst>
          </c:dPt>
          <c:dPt>
            <c:idx val="20"/>
            <c:invertIfNegative val="0"/>
            <c:bubble3D val="0"/>
            <c:spPr>
              <a:solidFill>
                <a:schemeClr val="accent2">
                  <a:lumMod val="75000"/>
                </a:schemeClr>
              </a:solidFill>
              <a:ln>
                <a:noFill/>
              </a:ln>
              <a:effectLst/>
            </c:spPr>
            <c:extLst>
              <c:ext xmlns:c16="http://schemas.microsoft.com/office/drawing/2014/chart" uri="{C3380CC4-5D6E-409C-BE32-E72D297353CC}">
                <c16:uniqueId val="{00000010-223B-492B-9671-3F044D98ED80}"/>
              </c:ext>
            </c:extLst>
          </c:dPt>
          <c:dPt>
            <c:idx val="21"/>
            <c:invertIfNegative val="0"/>
            <c:bubble3D val="0"/>
            <c:spPr>
              <a:solidFill>
                <a:schemeClr val="accent2">
                  <a:lumMod val="75000"/>
                </a:schemeClr>
              </a:solidFill>
              <a:ln>
                <a:noFill/>
              </a:ln>
              <a:effectLst/>
            </c:spPr>
            <c:extLst>
              <c:ext xmlns:c16="http://schemas.microsoft.com/office/drawing/2014/chart" uri="{C3380CC4-5D6E-409C-BE32-E72D297353CC}">
                <c16:uniqueId val="{0000001D-BA34-44B1-A289-39C8EF298407}"/>
              </c:ext>
            </c:extLst>
          </c:dPt>
          <c:dPt>
            <c:idx val="2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12-223B-492B-9671-3F044D98ED80}"/>
              </c:ext>
            </c:extLst>
          </c:dPt>
          <c:dPt>
            <c:idx val="24"/>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11-223B-492B-9671-3F044D98ED80}"/>
              </c:ext>
            </c:extLst>
          </c:dPt>
          <c:cat>
            <c:strRef>
              <c:f>'GHG disclosure'!$G$32:$H$56</c:f>
              <c:strCache>
                <c:ptCount val="25"/>
                <c:pt idx="1">
                  <c:v>Purchased goods and services</c:v>
                </c:pt>
                <c:pt idx="2">
                  <c:v>Capital goods</c:v>
                </c:pt>
                <c:pt idx="3">
                  <c:v>Fuel- and energy-related activities</c:v>
                </c:pt>
                <c:pt idx="4">
                  <c:v>Upstream transportation and distribution</c:v>
                </c:pt>
                <c:pt idx="5">
                  <c:v>Waste generated in operations</c:v>
                </c:pt>
                <c:pt idx="6">
                  <c:v>Business travel</c:v>
                </c:pt>
                <c:pt idx="7">
                  <c:v>Employee commuting</c:v>
                </c:pt>
                <c:pt idx="8">
                  <c:v>Upstream leased assets</c:v>
                </c:pt>
                <c:pt idx="10">
                  <c:v>Scope 1</c:v>
                </c:pt>
                <c:pt idx="11">
                  <c:v>Scope 2 (any)</c:v>
                </c:pt>
                <c:pt idx="12">
                  <c:v>Scope 2 (location based)</c:v>
                </c:pt>
                <c:pt idx="13">
                  <c:v>Scope 2 (market based)</c:v>
                </c:pt>
                <c:pt idx="15">
                  <c:v>Downstream transportation and distribution</c:v>
                </c:pt>
                <c:pt idx="16">
                  <c:v>Processing of sold products</c:v>
                </c:pt>
                <c:pt idx="17">
                  <c:v>Use of sold products</c:v>
                </c:pt>
                <c:pt idx="18">
                  <c:v>End-of-life treatment of sold products</c:v>
                </c:pt>
                <c:pt idx="19">
                  <c:v>Downstream leased assets</c:v>
                </c:pt>
                <c:pt idx="20">
                  <c:v>Franchises</c:v>
                </c:pt>
                <c:pt idx="21">
                  <c:v>Investments</c:v>
                </c:pt>
                <c:pt idx="23">
                  <c:v>Scope 1+2</c:v>
                </c:pt>
                <c:pt idx="24">
                  <c:v>Scope 3</c:v>
                </c:pt>
              </c:strCache>
            </c:strRef>
          </c:cat>
          <c:val>
            <c:numRef>
              <c:f>'GHG disclosure'!$I$32:$I$56</c:f>
              <c:numCache>
                <c:formatCode>0.0</c:formatCode>
                <c:ptCount val="25"/>
                <c:pt idx="1">
                  <c:v>55.555555555555557</c:v>
                </c:pt>
                <c:pt idx="2">
                  <c:v>70.370370370370367</c:v>
                </c:pt>
                <c:pt idx="3">
                  <c:v>62.962962962962962</c:v>
                </c:pt>
                <c:pt idx="4">
                  <c:v>59.259259259259252</c:v>
                </c:pt>
                <c:pt idx="5">
                  <c:v>66.666666666666657</c:v>
                </c:pt>
                <c:pt idx="6">
                  <c:v>55.555555555555557</c:v>
                </c:pt>
                <c:pt idx="7">
                  <c:v>70.370370370370367</c:v>
                </c:pt>
                <c:pt idx="8">
                  <c:v>59.259259259259252</c:v>
                </c:pt>
                <c:pt idx="10">
                  <c:v>77.777777777777786</c:v>
                </c:pt>
                <c:pt idx="11">
                  <c:v>70.370370370370367</c:v>
                </c:pt>
                <c:pt idx="12">
                  <c:v>33.333333333333329</c:v>
                </c:pt>
                <c:pt idx="13">
                  <c:v>14.814814814814813</c:v>
                </c:pt>
                <c:pt idx="15">
                  <c:v>66.666666666666657</c:v>
                </c:pt>
                <c:pt idx="16">
                  <c:v>66.666666666666657</c:v>
                </c:pt>
                <c:pt idx="17">
                  <c:v>51.851851851851848</c:v>
                </c:pt>
                <c:pt idx="18">
                  <c:v>62.962962962962962</c:v>
                </c:pt>
                <c:pt idx="19">
                  <c:v>66.666666666666657</c:v>
                </c:pt>
                <c:pt idx="20">
                  <c:v>66.666666666666657</c:v>
                </c:pt>
                <c:pt idx="21">
                  <c:v>74.074074074074076</c:v>
                </c:pt>
                <c:pt idx="23">
                  <c:v>70.370370370370367</c:v>
                </c:pt>
                <c:pt idx="24">
                  <c:v>48.148148148148145</c:v>
                </c:pt>
              </c:numCache>
            </c:numRef>
          </c:val>
          <c:extLst>
            <c:ext xmlns:c16="http://schemas.microsoft.com/office/drawing/2014/chart" uri="{C3380CC4-5D6E-409C-BE32-E72D297353CC}">
              <c16:uniqueId val="{00000000-223B-492B-9671-3F044D98ED80}"/>
            </c:ext>
          </c:extLst>
        </c:ser>
        <c:dLbls>
          <c:showLegendKey val="0"/>
          <c:showVal val="0"/>
          <c:showCatName val="0"/>
          <c:showSerName val="0"/>
          <c:showPercent val="0"/>
          <c:showBubbleSize val="0"/>
        </c:dLbls>
        <c:gapWidth val="80"/>
        <c:axId val="635719391"/>
        <c:axId val="635720639"/>
      </c:barChart>
      <c:catAx>
        <c:axId val="635719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200" b="1" i="0" u="none" strike="noStrike" kern="1200" baseline="0">
                <a:solidFill>
                  <a:schemeClr val="tx1">
                    <a:lumMod val="65000"/>
                    <a:lumOff val="35000"/>
                  </a:schemeClr>
                </a:solidFill>
                <a:latin typeface="Candara" panose="020E0502030303020204" pitchFamily="34" charset="0"/>
                <a:ea typeface="+mn-ea"/>
                <a:cs typeface="+mn-cs"/>
              </a:defRPr>
            </a:pPr>
            <a:endParaRPr lang="en-DE"/>
          </a:p>
        </c:txPr>
        <c:crossAx val="635720639"/>
        <c:crosses val="autoZero"/>
        <c:auto val="1"/>
        <c:lblAlgn val="ctr"/>
        <c:lblOffset val="100"/>
        <c:noMultiLvlLbl val="0"/>
      </c:catAx>
      <c:valAx>
        <c:axId val="635720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Candara" panose="020E0502030303020204" pitchFamily="34" charset="0"/>
                <a:ea typeface="+mn-ea"/>
                <a:cs typeface="+mn-cs"/>
              </a:defRPr>
            </a:pPr>
            <a:endParaRPr lang="en-DE"/>
          </a:p>
        </c:txPr>
        <c:crossAx val="635719391"/>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252803</xdr:colOff>
      <xdr:row>31</xdr:row>
      <xdr:rowOff>95250</xdr:rowOff>
    </xdr:from>
    <xdr:to>
      <xdr:col>17</xdr:col>
      <xdr:colOff>578217</xdr:colOff>
      <xdr:row>52</xdr:row>
      <xdr:rowOff>133662</xdr:rowOff>
    </xdr:to>
    <xdr:pic>
      <xdr:nvPicPr>
        <xdr:cNvPr id="2" name="Picture 1">
          <a:extLst>
            <a:ext uri="{FF2B5EF4-FFF2-40B4-BE49-F238E27FC236}">
              <a16:creationId xmlns:a16="http://schemas.microsoft.com/office/drawing/2014/main" id="{06D1148D-AF43-A2AA-2779-C6140D568B14}"/>
            </a:ext>
          </a:extLst>
        </xdr:cNvPr>
        <xdr:cNvPicPr>
          <a:picLocks noChangeAspect="1"/>
        </xdr:cNvPicPr>
      </xdr:nvPicPr>
      <xdr:blipFill>
        <a:blip xmlns:r="http://schemas.openxmlformats.org/officeDocument/2006/relationships" r:embed="rId1"/>
        <a:stretch>
          <a:fillRect/>
        </a:stretch>
      </xdr:blipFill>
      <xdr:spPr>
        <a:xfrm>
          <a:off x="8241103" y="5988050"/>
          <a:ext cx="4592614" cy="39055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66675</xdr:colOff>
      <xdr:row>30</xdr:row>
      <xdr:rowOff>76200</xdr:rowOff>
    </xdr:from>
    <xdr:to>
      <xdr:col>30</xdr:col>
      <xdr:colOff>114300</xdr:colOff>
      <xdr:row>59</xdr:row>
      <xdr:rowOff>133350</xdr:rowOff>
    </xdr:to>
    <xdr:graphicFrame macro="">
      <xdr:nvGraphicFramePr>
        <xdr:cNvPr id="3" name="Chart 2">
          <a:extLst>
            <a:ext uri="{FF2B5EF4-FFF2-40B4-BE49-F238E27FC236}">
              <a16:creationId xmlns:a16="http://schemas.microsoft.com/office/drawing/2014/main" id="{15746AA7-51D9-5A1E-F651-B4E99A06D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edgar.jrc.ec.europa.eu/report_2024" TargetMode="External"/><Relationship Id="rId2" Type="http://schemas.openxmlformats.org/officeDocument/2006/relationships/hyperlink" Target="https://aa.com.tr/en/economy/russian-economy-grew-to-24t-in-2024-says-premier/3520393" TargetMode="External"/><Relationship Id="rId1" Type="http://schemas.openxmlformats.org/officeDocument/2006/relationships/hyperlink" Target="https://www.worldometers.info/pl/greenhouse-gas-emissions/russia-greenhouse-gas-emission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worldeconomics.com/Population-Of-Working-Age-Size/Russia.aspx"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lukoil.com/Sustainability" TargetMode="External"/><Relationship Id="rId2" Type="http://schemas.openxmlformats.org/officeDocument/2006/relationships/hyperlink" Target="https://www.lukoil.com/Sustainability/ratingsandinitiatives" TargetMode="External"/><Relationship Id="rId1" Type="http://schemas.openxmlformats.org/officeDocument/2006/relationships/hyperlink" Target="https://www.lukoil.com/Sustainability/SustainabilityReport" TargetMode="External"/><Relationship Id="rId4"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hyperlink" Target="https://severstal.com/eng/ir/indicators-reporting/social-reports/" TargetMode="External"/><Relationship Id="rId2" Type="http://schemas.openxmlformats.org/officeDocument/2006/relationships/hyperlink" Target="https://severstal.com/eng/ir/indicators-reporting/social-reports/" TargetMode="External"/><Relationship Id="rId1" Type="http://schemas.openxmlformats.org/officeDocument/2006/relationships/hyperlink" Target="https://www.lukoil.com/Sustainability" TargetMode="External"/><Relationship Id="rId5" Type="http://schemas.openxmlformats.org/officeDocument/2006/relationships/printerSettings" Target="../printerSettings/printerSettings5.bin"/><Relationship Id="rId4" Type="http://schemas.openxmlformats.org/officeDocument/2006/relationships/hyperlink" Target="https://www.gem.wiki/Severstal_Cherepovets_steel_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334E-6528-4A85-85AA-86B5CF4AF984}">
  <dimension ref="B2:C21"/>
  <sheetViews>
    <sheetView workbookViewId="0">
      <selection activeCell="C20" sqref="C20"/>
    </sheetView>
  </sheetViews>
  <sheetFormatPr defaultRowHeight="14.5" x14ac:dyDescent="0.35"/>
  <sheetData>
    <row r="2" spans="2:3" x14ac:dyDescent="0.35">
      <c r="B2" t="s">
        <v>138</v>
      </c>
    </row>
    <row r="3" spans="2:3" x14ac:dyDescent="0.35">
      <c r="B3">
        <f>SUM('Master data'!F2:F28)</f>
        <v>697053.31</v>
      </c>
      <c r="C3" t="s">
        <v>137</v>
      </c>
    </row>
    <row r="5" spans="2:3" x14ac:dyDescent="0.35">
      <c r="B5" t="s">
        <v>141</v>
      </c>
    </row>
    <row r="6" spans="2:3" x14ac:dyDescent="0.35">
      <c r="B6" s="9">
        <f>B3/'Master data'!F30</f>
        <v>0.27063149912120754</v>
      </c>
    </row>
    <row r="8" spans="2:3" x14ac:dyDescent="0.35">
      <c r="B8" t="s">
        <v>153</v>
      </c>
    </row>
    <row r="9" spans="2:3" x14ac:dyDescent="0.35">
      <c r="B9" s="10">
        <f>(B3/1000000)/52.3</f>
        <v>1.332797915869981E-2</v>
      </c>
    </row>
    <row r="11" spans="2:3" x14ac:dyDescent="0.35">
      <c r="B11" t="s">
        <v>142</v>
      </c>
    </row>
    <row r="12" spans="2:3" x14ac:dyDescent="0.35">
      <c r="B12" s="5">
        <f>SUM(Revenue!E2:E28)</f>
        <v>50957.122782000006</v>
      </c>
      <c r="C12" t="s">
        <v>143</v>
      </c>
    </row>
    <row r="14" spans="2:3" x14ac:dyDescent="0.35">
      <c r="B14" t="s">
        <v>148</v>
      </c>
    </row>
    <row r="15" spans="2:3" x14ac:dyDescent="0.35">
      <c r="B15" s="9">
        <f>B12/'Master data'!F34</f>
        <v>0.25478561391000004</v>
      </c>
    </row>
    <row r="17" spans="2:2" x14ac:dyDescent="0.35">
      <c r="B17" t="s">
        <v>218</v>
      </c>
    </row>
    <row r="18" spans="2:2" x14ac:dyDescent="0.35">
      <c r="B18">
        <f>Workers!B32</f>
        <v>3500000</v>
      </c>
    </row>
    <row r="20" spans="2:2" x14ac:dyDescent="0.35">
      <c r="B20" t="s">
        <v>219</v>
      </c>
    </row>
    <row r="21" spans="2:2" x14ac:dyDescent="0.35">
      <c r="B21" s="10">
        <f>B18/Workers!B34</f>
        <v>3.7234042553191488E-2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311C-2FBF-47C1-81E0-A9864569B9BA}">
  <dimension ref="A1:J38"/>
  <sheetViews>
    <sheetView topLeftCell="A10" workbookViewId="0">
      <selection activeCell="B2" sqref="B2:B28"/>
    </sheetView>
  </sheetViews>
  <sheetFormatPr defaultRowHeight="14.5" x14ac:dyDescent="0.35"/>
  <cols>
    <col min="1" max="5" width="13.7265625" customWidth="1"/>
    <col min="6" max="6" width="10.81640625" bestFit="1" customWidth="1"/>
  </cols>
  <sheetData>
    <row r="1" spans="1:10" x14ac:dyDescent="0.35">
      <c r="A1" t="s">
        <v>130</v>
      </c>
      <c r="B1" t="s">
        <v>38</v>
      </c>
      <c r="C1" t="s">
        <v>39</v>
      </c>
      <c r="D1" t="s">
        <v>131</v>
      </c>
      <c r="E1" t="s">
        <v>132</v>
      </c>
      <c r="F1" s="7" t="s">
        <v>136</v>
      </c>
      <c r="G1" s="7" t="s">
        <v>144</v>
      </c>
    </row>
    <row r="2" spans="1:10" x14ac:dyDescent="0.35">
      <c r="A2" t="s">
        <v>74</v>
      </c>
      <c r="B2" t="s">
        <v>18</v>
      </c>
      <c r="C2" t="s">
        <v>19</v>
      </c>
      <c r="D2" t="s">
        <v>73</v>
      </c>
      <c r="E2" t="s">
        <v>75</v>
      </c>
      <c r="F2" s="7">
        <f>VLOOKUP('Master data'!A2,Emissions!$A$2:$J$28,10,FALSE)</f>
        <v>5625.7</v>
      </c>
      <c r="G2" s="7">
        <f>VLOOKUP(A2,Revenue!$A$2:$E$28,5,FALSE)</f>
        <v>507.68900000000002</v>
      </c>
      <c r="J2" t="str" cm="1">
        <f t="array" ref="J2:J12">_xlfn.UNIQUE(B2:B28)</f>
        <v>Chemicals</v>
      </c>
    </row>
    <row r="3" spans="1:10" x14ac:dyDescent="0.35">
      <c r="A3" t="s">
        <v>76</v>
      </c>
      <c r="B3" t="s">
        <v>2</v>
      </c>
      <c r="C3" t="s">
        <v>3</v>
      </c>
      <c r="D3" t="s">
        <v>77</v>
      </c>
      <c r="E3" t="s">
        <v>78</v>
      </c>
      <c r="F3" s="7">
        <f>VLOOKUP('Master data'!A3,Emissions!$A$2:$J$28,10,FALSE)</f>
        <v>0</v>
      </c>
      <c r="G3" s="7" t="str">
        <f>VLOOKUP(A3,Revenue!$A$2:$E$28,5,FALSE)</f>
        <v>No public disclosure</v>
      </c>
      <c r="J3" t="str">
        <v>Conglomerates</v>
      </c>
    </row>
    <row r="4" spans="1:10" x14ac:dyDescent="0.35">
      <c r="A4" t="s">
        <v>79</v>
      </c>
      <c r="B4" t="s">
        <v>32</v>
      </c>
      <c r="C4" t="s">
        <v>33</v>
      </c>
      <c r="D4" t="s">
        <v>77</v>
      </c>
      <c r="E4" t="s">
        <v>80</v>
      </c>
      <c r="F4" s="7">
        <f>VLOOKUP('Master data'!A4,Emissions!$A$2:$J$28,10,FALSE)</f>
        <v>0</v>
      </c>
      <c r="G4" s="7">
        <f>VLOOKUP(A4,Revenue!$A$2:$E$28,5,FALSE)</f>
        <v>675.1</v>
      </c>
      <c r="J4" t="str">
        <v>Construction &amp; Engineering</v>
      </c>
    </row>
    <row r="5" spans="1:10" x14ac:dyDescent="0.35">
      <c r="A5" t="s">
        <v>81</v>
      </c>
      <c r="B5" t="s">
        <v>29</v>
      </c>
      <c r="C5" t="s">
        <v>30</v>
      </c>
      <c r="D5" t="s">
        <v>73</v>
      </c>
      <c r="E5" t="s">
        <v>82</v>
      </c>
      <c r="F5" s="7">
        <f>VLOOKUP('Master data'!A5,Emissions!$A$2:$J$28,10,FALSE)</f>
        <v>0</v>
      </c>
      <c r="G5" s="7">
        <f>VLOOKUP(A5,Revenue!$A$2:$E$28,5,FALSE)</f>
        <v>424</v>
      </c>
      <c r="J5" t="str">
        <v>Food Production</v>
      </c>
    </row>
    <row r="6" spans="1:10" x14ac:dyDescent="0.35">
      <c r="A6" t="s">
        <v>83</v>
      </c>
      <c r="B6" t="s">
        <v>9</v>
      </c>
      <c r="C6" t="s">
        <v>10</v>
      </c>
      <c r="D6" t="s">
        <v>73</v>
      </c>
      <c r="E6" t="s">
        <v>84</v>
      </c>
      <c r="F6" s="7">
        <f>VLOOKUP('Master data'!A6,Emissions!$A$2:$J$28,10,FALSE)</f>
        <v>5460</v>
      </c>
      <c r="G6" s="7">
        <f>VLOOKUP(A6,Revenue!$A$2:$E$28,5,FALSE)</f>
        <v>3043</v>
      </c>
      <c r="J6" t="str">
        <v>Food Retailers</v>
      </c>
    </row>
    <row r="7" spans="1:10" x14ac:dyDescent="0.35">
      <c r="A7" t="s">
        <v>85</v>
      </c>
      <c r="B7" t="s">
        <v>9</v>
      </c>
      <c r="C7" t="s">
        <v>27</v>
      </c>
      <c r="D7" t="s">
        <v>73</v>
      </c>
      <c r="E7" t="s">
        <v>86</v>
      </c>
      <c r="F7" s="7">
        <f>VLOOKUP('Master data'!A7,Emissions!$A$2:$J$28,10,FALSE)</f>
        <v>3461.5770000000002</v>
      </c>
      <c r="G7" s="7">
        <f>VLOOKUP(A7,Revenue!$A$2:$E$28,5,FALSE)</f>
        <v>3908.047</v>
      </c>
      <c r="J7" t="str">
        <v>IT Software &amp; Services</v>
      </c>
    </row>
    <row r="8" spans="1:10" x14ac:dyDescent="0.35">
      <c r="A8" t="s">
        <v>90</v>
      </c>
      <c r="B8" t="s">
        <v>35</v>
      </c>
      <c r="C8" t="s">
        <v>37</v>
      </c>
      <c r="D8" t="s">
        <v>73</v>
      </c>
      <c r="E8" t="s">
        <v>87</v>
      </c>
      <c r="F8" s="7">
        <f>VLOOKUP('Master data'!A8,Emissions!$A$2:$J$28,10,FALSE)</f>
        <v>301.38200000000001</v>
      </c>
      <c r="G8" s="7">
        <f>VLOOKUP(A8,Revenue!$A$2:$E$28,5,FALSE)</f>
        <v>798</v>
      </c>
      <c r="J8" t="str">
        <v>Metals &amp; Mining</v>
      </c>
    </row>
    <row r="9" spans="1:10" x14ac:dyDescent="0.35">
      <c r="A9" t="s">
        <v>88</v>
      </c>
      <c r="B9" t="s">
        <v>35</v>
      </c>
      <c r="C9" t="s">
        <v>36</v>
      </c>
      <c r="D9" t="s">
        <v>73</v>
      </c>
      <c r="E9" t="s">
        <v>89</v>
      </c>
      <c r="F9" s="7">
        <f>VLOOKUP('Master data'!A9,Emissions!$A$2:$J$28,10,FALSE)</f>
        <v>35.503999999999998</v>
      </c>
      <c r="G9" s="7">
        <f>VLOOKUP(A9,Revenue!$A$2:$E$28,5,FALSE)</f>
        <v>147.57300000000001</v>
      </c>
      <c r="J9" t="str">
        <v>Oil &amp; Gas</v>
      </c>
    </row>
    <row r="10" spans="1:10" x14ac:dyDescent="0.35">
      <c r="A10" t="s">
        <v>91</v>
      </c>
      <c r="B10" t="s">
        <v>14</v>
      </c>
      <c r="C10" t="s">
        <v>15</v>
      </c>
      <c r="D10" t="s">
        <v>73</v>
      </c>
      <c r="E10" t="s">
        <v>92</v>
      </c>
      <c r="F10" s="7">
        <f>VLOOKUP('Master data'!A10,Emissions!$A$2:$J$28,10,FALSE)</f>
        <v>8600</v>
      </c>
      <c r="G10" s="7">
        <f>VLOOKUP(A10,Revenue!$A$2:$E$28,5,FALSE)</f>
        <v>1163.4000000000001</v>
      </c>
      <c r="J10" t="str">
        <v>Passenger Transport</v>
      </c>
    </row>
    <row r="11" spans="1:10" x14ac:dyDescent="0.35">
      <c r="A11" t="s">
        <v>93</v>
      </c>
      <c r="B11" t="s">
        <v>14</v>
      </c>
      <c r="C11" t="s">
        <v>17</v>
      </c>
      <c r="D11" t="s">
        <v>77</v>
      </c>
      <c r="E11" t="s">
        <v>94</v>
      </c>
      <c r="F11" s="7">
        <f>VLOOKUP('Master data'!A11,Emissions!$A$2:$J$28,10,FALSE)</f>
        <v>31471</v>
      </c>
      <c r="G11" s="7">
        <f>VLOOKUP(A11,Revenue!$A$2:$E$28,5,FALSE)</f>
        <v>737.51300700000002</v>
      </c>
      <c r="J11" t="str">
        <v>Telecommunications</v>
      </c>
    </row>
    <row r="12" spans="1:10" x14ac:dyDescent="0.35">
      <c r="A12" t="s">
        <v>95</v>
      </c>
      <c r="B12" t="s">
        <v>14</v>
      </c>
      <c r="C12" t="s">
        <v>24</v>
      </c>
      <c r="D12" t="s">
        <v>73</v>
      </c>
      <c r="E12" t="s">
        <v>96</v>
      </c>
      <c r="F12" s="7">
        <f>VLOOKUP('Master data'!A12,Emissions!$A$2:$J$28,10,FALSE)</f>
        <v>23920</v>
      </c>
      <c r="G12" s="7">
        <f>VLOOKUP(A12,Revenue!$A$2:$E$28,5,FALSE)</f>
        <v>829.779</v>
      </c>
      <c r="J12" t="str">
        <v>Utilities</v>
      </c>
    </row>
    <row r="13" spans="1:10" x14ac:dyDescent="0.35">
      <c r="A13" t="s">
        <v>97</v>
      </c>
      <c r="B13" t="s">
        <v>14</v>
      </c>
      <c r="C13" t="s">
        <v>28</v>
      </c>
      <c r="D13" t="s">
        <v>73</v>
      </c>
      <c r="E13" t="s">
        <v>98</v>
      </c>
      <c r="F13" s="7">
        <f>VLOOKUP('Master data'!A13,Emissions!$A$2:$J$28,10,FALSE)</f>
        <v>27306.031999999999</v>
      </c>
      <c r="G13" s="7">
        <f>VLOOKUP(A13,Revenue!$A$2:$E$28,5,FALSE)</f>
        <v>1121.5506760000001</v>
      </c>
    </row>
    <row r="14" spans="1:10" x14ac:dyDescent="0.35">
      <c r="A14" t="s">
        <v>99</v>
      </c>
      <c r="B14" t="s">
        <v>14</v>
      </c>
      <c r="C14" t="s">
        <v>31</v>
      </c>
      <c r="D14" t="s">
        <v>73</v>
      </c>
      <c r="E14" t="s">
        <v>100</v>
      </c>
      <c r="F14" s="7">
        <f>VLOOKUP('Master data'!A14,Emissions!$A$2:$J$28,10,FALSE)</f>
        <v>2116.8069999999998</v>
      </c>
      <c r="G14" s="7">
        <f>VLOOKUP(A14,Revenue!$A$2:$E$28,5,FALSE)</f>
        <v>7.343</v>
      </c>
    </row>
    <row r="15" spans="1:10" x14ac:dyDescent="0.35">
      <c r="A15" t="s">
        <v>101</v>
      </c>
      <c r="B15" t="s">
        <v>4</v>
      </c>
      <c r="C15" t="s">
        <v>5</v>
      </c>
      <c r="D15" t="s">
        <v>73</v>
      </c>
      <c r="E15" t="s">
        <v>102</v>
      </c>
      <c r="F15" s="7">
        <f>VLOOKUP('Master data'!A15,Emissions!$A$2:$J$28,10,FALSE)</f>
        <v>233640</v>
      </c>
      <c r="G15" s="7">
        <f>VLOOKUP(A15,Revenue!$A$2:$E$28,5,FALSE)</f>
        <v>10714.686</v>
      </c>
    </row>
    <row r="16" spans="1:10" x14ac:dyDescent="0.35">
      <c r="A16" t="s">
        <v>103</v>
      </c>
      <c r="B16" t="s">
        <v>4</v>
      </c>
      <c r="C16" t="s">
        <v>8</v>
      </c>
      <c r="D16" t="s">
        <v>73</v>
      </c>
      <c r="E16" t="s">
        <v>104</v>
      </c>
      <c r="F16" s="7">
        <f>VLOOKUP('Master data'!A16,Emissions!$A$2:$J$28,10,FALSE)</f>
        <v>39844</v>
      </c>
      <c r="G16" s="7">
        <f>VLOOKUP(A16,Revenue!$A$2:$E$28,5,FALSE)</f>
        <v>3046.944</v>
      </c>
    </row>
    <row r="17" spans="1:7" x14ac:dyDescent="0.35">
      <c r="A17" t="s">
        <v>105</v>
      </c>
      <c r="B17" t="s">
        <v>4</v>
      </c>
      <c r="C17" t="s">
        <v>16</v>
      </c>
      <c r="D17" t="s">
        <v>73</v>
      </c>
      <c r="E17" t="s">
        <v>106</v>
      </c>
      <c r="F17" s="7">
        <f>VLOOKUP('Master data'!A17,Emissions!$A$2:$J$28,10,FALSE)</f>
        <v>9749.9989999999998</v>
      </c>
      <c r="G17" s="7">
        <f>VLOOKUP(A17,Revenue!$A$2:$E$28,5,FALSE)</f>
        <v>1546</v>
      </c>
    </row>
    <row r="18" spans="1:7" x14ac:dyDescent="0.35">
      <c r="A18" t="s">
        <v>107</v>
      </c>
      <c r="B18" t="s">
        <v>4</v>
      </c>
      <c r="C18" t="s">
        <v>20</v>
      </c>
      <c r="D18" t="s">
        <v>73</v>
      </c>
      <c r="E18" t="s">
        <v>108</v>
      </c>
      <c r="F18" s="7">
        <f>VLOOKUP('Master data'!A18,Emissions!$A$2:$J$28,10,FALSE)</f>
        <v>80100</v>
      </c>
      <c r="G18" s="7">
        <f>VLOOKUP(A18,Revenue!$A$2:$E$28,5,FALSE)</f>
        <v>10139</v>
      </c>
    </row>
    <row r="19" spans="1:7" x14ac:dyDescent="0.35">
      <c r="A19" t="s">
        <v>109</v>
      </c>
      <c r="B19" t="s">
        <v>4</v>
      </c>
      <c r="C19" t="s">
        <v>25</v>
      </c>
      <c r="D19" t="s">
        <v>73</v>
      </c>
      <c r="E19" t="s">
        <v>110</v>
      </c>
      <c r="F19" s="7">
        <f>VLOOKUP('Master data'!A19,Emissions!$A$2:$J$28,10,FALSE)</f>
        <v>0</v>
      </c>
      <c r="G19" s="7">
        <f>VLOOKUP(A19,Revenue!$A$2:$E$28,5,FALSE)</f>
        <v>923.3</v>
      </c>
    </row>
    <row r="20" spans="1:7" x14ac:dyDescent="0.35">
      <c r="A20" t="s">
        <v>111</v>
      </c>
      <c r="B20" t="s">
        <v>4</v>
      </c>
      <c r="C20" t="s">
        <v>26</v>
      </c>
      <c r="D20" t="s">
        <v>73</v>
      </c>
      <c r="E20" t="s">
        <v>112</v>
      </c>
      <c r="F20" s="7">
        <f>VLOOKUP('Master data'!A20,Emissions!$A$2:$J$28,10,FALSE)</f>
        <v>13350</v>
      </c>
      <c r="G20" s="7">
        <f>VLOOKUP(A20,Revenue!$A$2:$E$28,5,FALSE)</f>
        <v>2030.3710000000001</v>
      </c>
    </row>
    <row r="21" spans="1:7" x14ac:dyDescent="0.35">
      <c r="A21" t="s">
        <v>113</v>
      </c>
      <c r="B21" t="s">
        <v>0</v>
      </c>
      <c r="C21" t="s">
        <v>1</v>
      </c>
      <c r="D21" t="s">
        <v>73</v>
      </c>
      <c r="E21" t="s">
        <v>114</v>
      </c>
      <c r="F21" s="7">
        <f>VLOOKUP('Master data'!A21,Emissions!$A$2:$J$28,10,FALSE)</f>
        <v>11283.6</v>
      </c>
      <c r="G21" s="7">
        <f>VLOOKUP(A21,Revenue!$A$2:$E$28,5,FALSE)</f>
        <v>856.78499999999997</v>
      </c>
    </row>
    <row r="22" spans="1:7" x14ac:dyDescent="0.35">
      <c r="A22" t="s">
        <v>115</v>
      </c>
      <c r="B22" t="s">
        <v>0</v>
      </c>
      <c r="C22" t="s">
        <v>22</v>
      </c>
      <c r="D22" t="s">
        <v>116</v>
      </c>
      <c r="E22" t="s">
        <v>117</v>
      </c>
      <c r="F22" s="7">
        <f>VLOOKUP('Master data'!A22,Emissions!$A$2:$J$28,10,FALSE)</f>
        <v>35600</v>
      </c>
      <c r="G22" s="7">
        <f>VLOOKUP(A22,Revenue!$A$2:$E$28,5,FALSE)</f>
        <v>3296.3</v>
      </c>
    </row>
    <row r="23" spans="1:7" x14ac:dyDescent="0.35">
      <c r="A23" t="s">
        <v>118</v>
      </c>
      <c r="B23" t="s">
        <v>11</v>
      </c>
      <c r="C23" t="s">
        <v>12</v>
      </c>
      <c r="D23" t="s">
        <v>77</v>
      </c>
      <c r="E23" t="s">
        <v>119</v>
      </c>
      <c r="F23" s="7">
        <f>VLOOKUP('Master data'!A23,Emissions!$A$2:$J$28,10,FALSE)</f>
        <v>0</v>
      </c>
      <c r="G23" s="7">
        <f>VLOOKUP(A23,Revenue!$A$2:$E$28,5,FALSE)</f>
        <v>485.923</v>
      </c>
    </row>
    <row r="24" spans="1:7" x14ac:dyDescent="0.35">
      <c r="A24" t="s">
        <v>120</v>
      </c>
      <c r="B24" t="s">
        <v>11</v>
      </c>
      <c r="C24" t="s">
        <v>13</v>
      </c>
      <c r="D24" t="s">
        <v>73</v>
      </c>
      <c r="E24" t="s">
        <v>121</v>
      </c>
      <c r="F24" s="7">
        <f>VLOOKUP('Master data'!A24,Emissions!$A$2:$J$28,10,FALSE)</f>
        <v>85217.316999999995</v>
      </c>
      <c r="G24" s="7">
        <f>VLOOKUP(A24,Revenue!$A$2:$E$28,5,FALSE)</f>
        <v>703.7</v>
      </c>
    </row>
    <row r="25" spans="1:7" x14ac:dyDescent="0.35">
      <c r="A25" t="s">
        <v>122</v>
      </c>
      <c r="B25" t="s">
        <v>11</v>
      </c>
      <c r="C25" t="s">
        <v>23</v>
      </c>
      <c r="D25" t="s">
        <v>73</v>
      </c>
      <c r="E25" t="s">
        <v>123</v>
      </c>
      <c r="F25" s="7">
        <f>VLOOKUP('Master data'!A25,Emissions!$A$2:$J$28,10,FALSE)</f>
        <v>1569.3920000000001</v>
      </c>
      <c r="G25" s="7">
        <f>VLOOKUP(A25,Revenue!$A$2:$E$28,5,FALSE)</f>
        <v>707.8</v>
      </c>
    </row>
    <row r="26" spans="1:7" x14ac:dyDescent="0.35">
      <c r="A26" t="s">
        <v>124</v>
      </c>
      <c r="B26" t="s">
        <v>6</v>
      </c>
      <c r="C26" t="s">
        <v>7</v>
      </c>
      <c r="D26" t="s">
        <v>73</v>
      </c>
      <c r="E26" t="s">
        <v>125</v>
      </c>
      <c r="F26" s="7">
        <f>VLOOKUP('Master data'!A26,Emissions!$A$2:$J$28,10,FALSE)</f>
        <v>78135</v>
      </c>
      <c r="G26" s="7">
        <f>VLOOKUP(A26,Revenue!$A$2:$E$28,5,FALSE)</f>
        <v>1548.4469999999999</v>
      </c>
    </row>
    <row r="27" spans="1:7" x14ac:dyDescent="0.35">
      <c r="A27" t="s">
        <v>126</v>
      </c>
      <c r="B27" t="s">
        <v>6</v>
      </c>
      <c r="C27" t="s">
        <v>21</v>
      </c>
      <c r="D27" t="s">
        <v>73</v>
      </c>
      <c r="E27" t="s">
        <v>127</v>
      </c>
      <c r="F27" s="7">
        <f>VLOOKUP('Master data'!A27,Emissions!$A$2:$J$28,10,FALSE)</f>
        <v>266</v>
      </c>
      <c r="G27" s="7">
        <f>VLOOKUP(A27,Revenue!$A$2:$E$28,5,FALSE)</f>
        <v>1505.655</v>
      </c>
    </row>
    <row r="28" spans="1:7" x14ac:dyDescent="0.35">
      <c r="A28" t="s">
        <v>128</v>
      </c>
      <c r="B28" t="s">
        <v>6</v>
      </c>
      <c r="C28" t="s">
        <v>34</v>
      </c>
      <c r="D28" t="s">
        <v>116</v>
      </c>
      <c r="E28" t="s">
        <v>129</v>
      </c>
      <c r="F28" s="7">
        <f>VLOOKUP('Master data'!A28,Emissions!$A$2:$J$28,10,FALSE)</f>
        <v>0</v>
      </c>
      <c r="G28" s="7">
        <f>VLOOKUP(A28,Revenue!$A$2:$E$28,5,FALSE)</f>
        <v>89.217099000000005</v>
      </c>
    </row>
    <row r="30" spans="1:7" x14ac:dyDescent="0.35">
      <c r="E30" t="s">
        <v>140</v>
      </c>
      <c r="F30">
        <f>2575654764/1000</f>
        <v>2575654.764</v>
      </c>
    </row>
    <row r="31" spans="1:7" x14ac:dyDescent="0.35">
      <c r="E31" s="8" t="s">
        <v>139</v>
      </c>
    </row>
    <row r="33" spans="5:7" x14ac:dyDescent="0.35">
      <c r="E33" t="s">
        <v>145</v>
      </c>
    </row>
    <row r="34" spans="5:7" x14ac:dyDescent="0.35">
      <c r="E34" s="8" t="s">
        <v>146</v>
      </c>
      <c r="F34">
        <f>200000</f>
        <v>200000</v>
      </c>
      <c r="G34" t="s">
        <v>147</v>
      </c>
    </row>
    <row r="36" spans="5:7" x14ac:dyDescent="0.35">
      <c r="E36" t="s">
        <v>149</v>
      </c>
    </row>
    <row r="37" spans="5:7" x14ac:dyDescent="0.35">
      <c r="E37" s="8" t="s">
        <v>150</v>
      </c>
      <c r="F37">
        <v>53.2</v>
      </c>
      <c r="G37" t="s">
        <v>151</v>
      </c>
    </row>
    <row r="38" spans="5:7" x14ac:dyDescent="0.35">
      <c r="F38" t="s">
        <v>152</v>
      </c>
    </row>
  </sheetData>
  <conditionalFormatting sqref="F2:F28">
    <cfRule type="dataBar" priority="1">
      <dataBar>
        <cfvo type="min"/>
        <cfvo type="max"/>
        <color rgb="FF638EC6"/>
      </dataBar>
      <extLst>
        <ext xmlns:x14="http://schemas.microsoft.com/office/spreadsheetml/2009/9/main" uri="{B025F937-C7B1-47D3-B67F-A62EFF666E3E}">
          <x14:id>{21F8EB8A-1EC6-43DA-9CCD-C9357BD9E741}</x14:id>
        </ext>
      </extLst>
    </cfRule>
  </conditionalFormatting>
  <hyperlinks>
    <hyperlink ref="E31" r:id="rId1" display="https://www.worldometers.info/pl/greenhouse-gas-emissions/russia-greenhouse-gas-emissions/" xr:uid="{A63E0557-C6C3-4B7D-AB6B-A69522B5A61B}"/>
    <hyperlink ref="E34" r:id="rId2" display="https://aa.com.tr/en/economy/russian-economy-grew-to-24t-in-2024-says-premier/3520393" xr:uid="{70C86BEE-634C-4A69-BAEF-F28453B87004}"/>
    <hyperlink ref="E37" r:id="rId3" display="https://edgar.jrc.ec.europa.eu/report_2024" xr:uid="{4CF09F25-1DA5-4806-9096-8F309C206596}"/>
  </hyperlinks>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x14:cfRule type="dataBar" id="{21F8EB8A-1EC6-43DA-9CCD-C9357BD9E741}">
            <x14:dataBar minLength="0" maxLength="100" border="1" negativeBarBorderColorSameAsPositive="0">
              <x14:cfvo type="autoMin"/>
              <x14:cfvo type="autoMax"/>
              <x14:borderColor rgb="FF638EC6"/>
              <x14:negativeFillColor rgb="FFFF0000"/>
              <x14:negativeBorderColor rgb="FFFF0000"/>
              <x14:axisColor rgb="FF000000"/>
            </x14:dataBar>
          </x14:cfRule>
          <xm:sqref>F2:F28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3FCE-DF1D-4487-9679-E14D0CB7CEEF}">
  <dimension ref="A1:V33"/>
  <sheetViews>
    <sheetView workbookViewId="0">
      <selection activeCell="C9" sqref="C9"/>
    </sheetView>
  </sheetViews>
  <sheetFormatPr defaultRowHeight="14.5" x14ac:dyDescent="0.35"/>
  <cols>
    <col min="3" max="3" width="14.90625" bestFit="1" customWidth="1"/>
    <col min="9" max="9" width="9.81640625" bestFit="1" customWidth="1"/>
    <col min="12" max="12" width="11.81640625" bestFit="1" customWidth="1"/>
    <col min="13" max="13" width="10.81640625" customWidth="1"/>
  </cols>
  <sheetData>
    <row r="1" spans="1:22" x14ac:dyDescent="0.35">
      <c r="A1" s="2" t="s">
        <v>130</v>
      </c>
      <c r="B1" s="2" t="s">
        <v>38</v>
      </c>
      <c r="C1" s="2" t="s">
        <v>39</v>
      </c>
      <c r="D1" s="2" t="s">
        <v>40</v>
      </c>
      <c r="E1" s="2" t="s">
        <v>41</v>
      </c>
      <c r="F1" s="2" t="s">
        <v>42</v>
      </c>
      <c r="G1" s="2" t="s">
        <v>43</v>
      </c>
      <c r="H1" s="3" t="s">
        <v>44</v>
      </c>
      <c r="I1" s="3" t="s">
        <v>45</v>
      </c>
      <c r="J1" s="3" t="s">
        <v>135</v>
      </c>
      <c r="K1" s="3"/>
      <c r="L1" s="2"/>
      <c r="M1" s="2"/>
      <c r="N1" s="2"/>
      <c r="P1" s="2" t="s">
        <v>50</v>
      </c>
      <c r="R1" s="2" t="s">
        <v>56</v>
      </c>
      <c r="T1" s="2" t="s">
        <v>60</v>
      </c>
      <c r="V1" s="2" t="s">
        <v>61</v>
      </c>
    </row>
    <row r="2" spans="1:22" x14ac:dyDescent="0.35">
      <c r="A2" t="s">
        <v>113</v>
      </c>
      <c r="B2" t="s">
        <v>0</v>
      </c>
      <c r="C2" t="s">
        <v>1</v>
      </c>
      <c r="D2">
        <v>11243200</v>
      </c>
      <c r="G2">
        <v>40400</v>
      </c>
      <c r="H2">
        <f>G2</f>
        <v>40400</v>
      </c>
      <c r="I2">
        <f>D2+G2</f>
        <v>11283600</v>
      </c>
      <c r="J2" s="6">
        <f>I2/1000</f>
        <v>11283.6</v>
      </c>
      <c r="K2" s="6"/>
      <c r="M2" s="6"/>
      <c r="P2" t="s">
        <v>51</v>
      </c>
      <c r="T2" t="s">
        <v>57</v>
      </c>
    </row>
    <row r="3" spans="1:22" x14ac:dyDescent="0.35">
      <c r="A3" t="s">
        <v>76</v>
      </c>
      <c r="B3" t="s">
        <v>2</v>
      </c>
      <c r="C3" t="s">
        <v>3</v>
      </c>
      <c r="J3" s="6">
        <f t="shared" ref="J3:J28" si="0">I3/1000</f>
        <v>0</v>
      </c>
      <c r="K3" s="6"/>
      <c r="M3" s="6"/>
      <c r="T3" t="s">
        <v>57</v>
      </c>
    </row>
    <row r="4" spans="1:22" x14ac:dyDescent="0.35">
      <c r="A4" t="s">
        <v>101</v>
      </c>
      <c r="B4" t="s">
        <v>4</v>
      </c>
      <c r="C4" t="s">
        <v>5</v>
      </c>
      <c r="D4">
        <v>221160000</v>
      </c>
      <c r="G4">
        <v>12480000</v>
      </c>
      <c r="H4">
        <f t="shared" ref="H4:H26" si="1">G4</f>
        <v>12480000</v>
      </c>
      <c r="I4">
        <f>D4+G4</f>
        <v>233640000</v>
      </c>
      <c r="J4" s="6">
        <f t="shared" si="0"/>
        <v>233640</v>
      </c>
      <c r="K4" s="6"/>
      <c r="M4" s="6"/>
      <c r="P4" t="s">
        <v>52</v>
      </c>
      <c r="T4" t="s">
        <v>57</v>
      </c>
    </row>
    <row r="5" spans="1:22" x14ac:dyDescent="0.35">
      <c r="A5" t="s">
        <v>124</v>
      </c>
      <c r="B5" t="s">
        <v>6</v>
      </c>
      <c r="C5" t="s">
        <v>7</v>
      </c>
      <c r="D5">
        <v>78135000</v>
      </c>
      <c r="I5">
        <f>D5+G5</f>
        <v>78135000</v>
      </c>
      <c r="J5" s="6">
        <f t="shared" si="0"/>
        <v>78135</v>
      </c>
      <c r="K5" s="6"/>
      <c r="M5" s="6"/>
      <c r="T5" t="s">
        <v>57</v>
      </c>
    </row>
    <row r="6" spans="1:22" x14ac:dyDescent="0.35">
      <c r="A6" t="s">
        <v>103</v>
      </c>
      <c r="B6" t="s">
        <v>4</v>
      </c>
      <c r="C6" t="s">
        <v>8</v>
      </c>
      <c r="D6">
        <v>35584000</v>
      </c>
      <c r="E6">
        <v>4260000</v>
      </c>
      <c r="H6">
        <f>E6</f>
        <v>4260000</v>
      </c>
      <c r="I6">
        <f>D6+E6</f>
        <v>39844000</v>
      </c>
      <c r="J6" s="6">
        <f t="shared" si="0"/>
        <v>39844</v>
      </c>
      <c r="K6" s="6"/>
      <c r="M6" s="6"/>
      <c r="P6" t="s">
        <v>51</v>
      </c>
      <c r="R6" t="s">
        <v>54</v>
      </c>
      <c r="T6" t="s">
        <v>58</v>
      </c>
      <c r="V6" t="b">
        <v>1</v>
      </c>
    </row>
    <row r="7" spans="1:22" x14ac:dyDescent="0.35">
      <c r="A7" t="s">
        <v>83</v>
      </c>
      <c r="B7" t="s">
        <v>9</v>
      </c>
      <c r="C7" t="s">
        <v>10</v>
      </c>
      <c r="D7">
        <v>2330000</v>
      </c>
      <c r="G7">
        <v>3130000</v>
      </c>
      <c r="H7">
        <f>G7</f>
        <v>3130000</v>
      </c>
      <c r="I7">
        <f>D7+G7</f>
        <v>5460000</v>
      </c>
      <c r="J7" s="6">
        <f t="shared" si="0"/>
        <v>5460</v>
      </c>
      <c r="K7" s="6"/>
      <c r="M7" s="6"/>
      <c r="R7" t="s">
        <v>54</v>
      </c>
      <c r="T7" t="s">
        <v>58</v>
      </c>
    </row>
    <row r="8" spans="1:22" x14ac:dyDescent="0.35">
      <c r="A8" t="s">
        <v>118</v>
      </c>
      <c r="B8" t="s">
        <v>11</v>
      </c>
      <c r="C8" t="s">
        <v>12</v>
      </c>
      <c r="J8" s="6">
        <f t="shared" si="0"/>
        <v>0</v>
      </c>
      <c r="K8" s="6"/>
      <c r="M8" s="6"/>
      <c r="T8" t="s">
        <v>57</v>
      </c>
    </row>
    <row r="9" spans="1:22" x14ac:dyDescent="0.35">
      <c r="A9" t="s">
        <v>120</v>
      </c>
      <c r="B9" t="s">
        <v>11</v>
      </c>
      <c r="C9" t="s">
        <v>13</v>
      </c>
      <c r="D9">
        <v>4656616</v>
      </c>
      <c r="E9">
        <v>80560701</v>
      </c>
      <c r="H9">
        <f>E9</f>
        <v>80560701</v>
      </c>
      <c r="I9">
        <f>D9+E9</f>
        <v>85217317</v>
      </c>
      <c r="J9" s="6">
        <f t="shared" si="0"/>
        <v>85217.316999999995</v>
      </c>
      <c r="K9" s="6"/>
      <c r="M9" s="6"/>
      <c r="T9" t="s">
        <v>57</v>
      </c>
    </row>
    <row r="10" spans="1:22" x14ac:dyDescent="0.35">
      <c r="A10" t="s">
        <v>91</v>
      </c>
      <c r="B10" t="s">
        <v>14</v>
      </c>
      <c r="C10" t="s">
        <v>15</v>
      </c>
      <c r="D10">
        <v>8200000</v>
      </c>
      <c r="E10">
        <v>400000</v>
      </c>
      <c r="H10">
        <f t="shared" ref="H10:H12" si="2">E10</f>
        <v>400000</v>
      </c>
      <c r="I10">
        <f t="shared" ref="I10:I11" si="3">D10+E10</f>
        <v>8600000</v>
      </c>
      <c r="J10" s="6">
        <f t="shared" si="0"/>
        <v>8600</v>
      </c>
      <c r="K10" s="6"/>
      <c r="M10" s="6"/>
      <c r="P10" t="s">
        <v>53</v>
      </c>
      <c r="T10" t="s">
        <v>57</v>
      </c>
    </row>
    <row r="11" spans="1:22" x14ac:dyDescent="0.35">
      <c r="A11" t="s">
        <v>105</v>
      </c>
      <c r="B11" t="s">
        <v>4</v>
      </c>
      <c r="C11" t="s">
        <v>16</v>
      </c>
      <c r="D11">
        <v>9571891</v>
      </c>
      <c r="E11">
        <v>178108</v>
      </c>
      <c r="H11">
        <f t="shared" si="2"/>
        <v>178108</v>
      </c>
      <c r="I11">
        <f t="shared" si="3"/>
        <v>9749999</v>
      </c>
      <c r="J11" s="6">
        <f t="shared" si="0"/>
        <v>9749.9989999999998</v>
      </c>
      <c r="K11" s="6"/>
      <c r="M11" s="6"/>
      <c r="P11" t="s">
        <v>52</v>
      </c>
      <c r="R11" t="s">
        <v>54</v>
      </c>
      <c r="T11" t="s">
        <v>58</v>
      </c>
      <c r="V11" t="b">
        <v>1</v>
      </c>
    </row>
    <row r="12" spans="1:22" x14ac:dyDescent="0.35">
      <c r="A12" t="s">
        <v>93</v>
      </c>
      <c r="B12" t="s">
        <v>14</v>
      </c>
      <c r="C12" t="s">
        <v>17</v>
      </c>
      <c r="D12">
        <v>29578000</v>
      </c>
      <c r="E12">
        <v>1893000</v>
      </c>
      <c r="F12">
        <v>389000</v>
      </c>
      <c r="H12">
        <f t="shared" si="2"/>
        <v>1893000</v>
      </c>
      <c r="I12">
        <f>D12+E12</f>
        <v>31471000</v>
      </c>
      <c r="J12" s="6">
        <f t="shared" si="0"/>
        <v>31471</v>
      </c>
      <c r="K12" s="6"/>
      <c r="M12" s="6"/>
      <c r="R12" t="s">
        <v>55</v>
      </c>
      <c r="T12" t="s">
        <v>58</v>
      </c>
      <c r="V12" t="b">
        <v>1</v>
      </c>
    </row>
    <row r="13" spans="1:22" x14ac:dyDescent="0.35">
      <c r="A13" t="s">
        <v>74</v>
      </c>
      <c r="B13" t="s">
        <v>18</v>
      </c>
      <c r="C13" t="s">
        <v>19</v>
      </c>
      <c r="D13">
        <v>4716300</v>
      </c>
      <c r="G13">
        <v>909400</v>
      </c>
      <c r="H13">
        <f t="shared" si="1"/>
        <v>909400</v>
      </c>
      <c r="I13">
        <f>D13+G13</f>
        <v>5625700</v>
      </c>
      <c r="J13" s="6">
        <f t="shared" si="0"/>
        <v>5625.7</v>
      </c>
      <c r="K13" s="6"/>
      <c r="M13" s="6"/>
      <c r="R13" t="s">
        <v>55</v>
      </c>
      <c r="T13" t="s">
        <v>59</v>
      </c>
    </row>
    <row r="14" spans="1:22" x14ac:dyDescent="0.35">
      <c r="A14" t="s">
        <v>107</v>
      </c>
      <c r="B14" t="s">
        <v>4</v>
      </c>
      <c r="C14" t="s">
        <v>20</v>
      </c>
      <c r="D14">
        <v>65800000</v>
      </c>
      <c r="G14">
        <v>14300000</v>
      </c>
      <c r="H14">
        <f t="shared" si="1"/>
        <v>14300000</v>
      </c>
      <c r="I14">
        <f>D14+G14</f>
        <v>80100000</v>
      </c>
      <c r="J14" s="6">
        <f t="shared" si="0"/>
        <v>80100</v>
      </c>
      <c r="K14" s="6"/>
      <c r="M14" s="6"/>
      <c r="P14" t="s">
        <v>51</v>
      </c>
      <c r="R14" t="s">
        <v>54</v>
      </c>
      <c r="T14" t="s">
        <v>58</v>
      </c>
      <c r="V14" t="b">
        <v>1</v>
      </c>
    </row>
    <row r="15" spans="1:22" x14ac:dyDescent="0.35">
      <c r="A15" t="s">
        <v>126</v>
      </c>
      <c r="B15" t="s">
        <v>6</v>
      </c>
      <c r="C15" t="s">
        <v>21</v>
      </c>
      <c r="D15">
        <v>266000</v>
      </c>
      <c r="I15">
        <f>D15+G15</f>
        <v>266000</v>
      </c>
      <c r="J15" s="6">
        <f t="shared" si="0"/>
        <v>266</v>
      </c>
      <c r="K15" s="6"/>
      <c r="M15" s="6"/>
      <c r="P15" t="s">
        <v>53</v>
      </c>
      <c r="T15" t="s">
        <v>57</v>
      </c>
    </row>
    <row r="16" spans="1:22" x14ac:dyDescent="0.35">
      <c r="A16" t="s">
        <v>115</v>
      </c>
      <c r="B16" t="s">
        <v>0</v>
      </c>
      <c r="C16" t="s">
        <v>22</v>
      </c>
      <c r="D16">
        <v>10200000</v>
      </c>
      <c r="G16">
        <v>25400000</v>
      </c>
      <c r="H16">
        <f t="shared" si="1"/>
        <v>25400000</v>
      </c>
      <c r="I16">
        <f>D16+G16</f>
        <v>35600000</v>
      </c>
      <c r="J16" s="6">
        <f t="shared" si="0"/>
        <v>35600</v>
      </c>
      <c r="K16" s="6"/>
      <c r="M16" s="6"/>
      <c r="R16" t="s">
        <v>54</v>
      </c>
      <c r="T16" t="s">
        <v>58</v>
      </c>
    </row>
    <row r="17" spans="1:22" x14ac:dyDescent="0.35">
      <c r="A17" t="s">
        <v>122</v>
      </c>
      <c r="B17" t="s">
        <v>11</v>
      </c>
      <c r="C17" t="s">
        <v>23</v>
      </c>
      <c r="D17">
        <v>138311</v>
      </c>
      <c r="G17">
        <v>1431081</v>
      </c>
      <c r="H17">
        <f>G17</f>
        <v>1431081</v>
      </c>
      <c r="I17">
        <f>D17+G17</f>
        <v>1569392</v>
      </c>
      <c r="J17" s="6">
        <f t="shared" si="0"/>
        <v>1569.3920000000001</v>
      </c>
      <c r="K17" s="6"/>
      <c r="M17" s="6"/>
      <c r="T17" t="s">
        <v>57</v>
      </c>
    </row>
    <row r="18" spans="1:22" x14ac:dyDescent="0.35">
      <c r="A18" t="s">
        <v>95</v>
      </c>
      <c r="B18" t="s">
        <v>14</v>
      </c>
      <c r="C18" t="s">
        <v>24</v>
      </c>
      <c r="D18">
        <v>23030000</v>
      </c>
      <c r="E18">
        <v>890000</v>
      </c>
      <c r="F18">
        <v>890000</v>
      </c>
      <c r="H18">
        <f>E18</f>
        <v>890000</v>
      </c>
      <c r="I18">
        <f>D18+E18</f>
        <v>23920000</v>
      </c>
      <c r="J18" s="6">
        <f t="shared" si="0"/>
        <v>23920</v>
      </c>
      <c r="K18" s="6"/>
      <c r="M18" s="6"/>
      <c r="P18" t="s">
        <v>51</v>
      </c>
      <c r="R18" t="s">
        <v>55</v>
      </c>
      <c r="T18" t="s">
        <v>58</v>
      </c>
      <c r="V18" t="b">
        <v>1</v>
      </c>
    </row>
    <row r="19" spans="1:22" x14ac:dyDescent="0.35">
      <c r="A19" t="s">
        <v>109</v>
      </c>
      <c r="B19" t="s">
        <v>4</v>
      </c>
      <c r="C19" t="s">
        <v>25</v>
      </c>
      <c r="J19" s="6">
        <f t="shared" si="0"/>
        <v>0</v>
      </c>
      <c r="K19" s="6"/>
      <c r="M19" s="6"/>
      <c r="T19" t="s">
        <v>57</v>
      </c>
    </row>
    <row r="20" spans="1:22" x14ac:dyDescent="0.35">
      <c r="A20" t="s">
        <v>111</v>
      </c>
      <c r="B20" t="s">
        <v>4</v>
      </c>
      <c r="C20" t="s">
        <v>26</v>
      </c>
      <c r="D20">
        <v>8180000</v>
      </c>
      <c r="G20">
        <v>5170000</v>
      </c>
      <c r="H20">
        <f>G20</f>
        <v>5170000</v>
      </c>
      <c r="I20">
        <f>D20+G20</f>
        <v>13350000</v>
      </c>
      <c r="J20" s="6">
        <f t="shared" si="0"/>
        <v>13350</v>
      </c>
      <c r="K20" s="6"/>
      <c r="M20" s="6"/>
      <c r="R20" t="s">
        <v>54</v>
      </c>
      <c r="T20" t="s">
        <v>58</v>
      </c>
    </row>
    <row r="21" spans="1:22" x14ac:dyDescent="0.35">
      <c r="A21" t="s">
        <v>85</v>
      </c>
      <c r="B21" t="s">
        <v>9</v>
      </c>
      <c r="C21" t="s">
        <v>27</v>
      </c>
      <c r="D21">
        <v>1745875</v>
      </c>
      <c r="E21">
        <v>1715702</v>
      </c>
      <c r="F21">
        <v>2349672</v>
      </c>
      <c r="H21">
        <f t="shared" si="1"/>
        <v>0</v>
      </c>
      <c r="I21">
        <f>D21+E21</f>
        <v>3461577</v>
      </c>
      <c r="J21" s="6">
        <f t="shared" si="0"/>
        <v>3461.5770000000002</v>
      </c>
      <c r="K21" s="6"/>
      <c r="M21" s="6"/>
      <c r="R21" t="s">
        <v>55</v>
      </c>
      <c r="T21" t="s">
        <v>58</v>
      </c>
      <c r="V21" t="b">
        <v>1</v>
      </c>
    </row>
    <row r="22" spans="1:22" x14ac:dyDescent="0.35">
      <c r="A22" t="s">
        <v>97</v>
      </c>
      <c r="B22" t="s">
        <v>14</v>
      </c>
      <c r="C22" t="s">
        <v>28</v>
      </c>
      <c r="D22">
        <v>26151217</v>
      </c>
      <c r="G22">
        <v>1154815</v>
      </c>
      <c r="H22">
        <f>G22</f>
        <v>1154815</v>
      </c>
      <c r="I22">
        <f>D22+G22</f>
        <v>27306032</v>
      </c>
      <c r="J22" s="6">
        <f t="shared" si="0"/>
        <v>27306.031999999999</v>
      </c>
      <c r="K22" s="6"/>
      <c r="M22" s="6"/>
      <c r="P22" t="s">
        <v>51</v>
      </c>
      <c r="R22" t="s">
        <v>54</v>
      </c>
      <c r="T22" t="s">
        <v>58</v>
      </c>
      <c r="V22" t="b">
        <v>1</v>
      </c>
    </row>
    <row r="23" spans="1:22" x14ac:dyDescent="0.35">
      <c r="A23" t="s">
        <v>81</v>
      </c>
      <c r="B23" t="s">
        <v>29</v>
      </c>
      <c r="C23" t="s">
        <v>30</v>
      </c>
      <c r="H23">
        <f t="shared" si="1"/>
        <v>0</v>
      </c>
      <c r="I23">
        <f>D23+G23</f>
        <v>0</v>
      </c>
      <c r="J23" s="6">
        <f t="shared" si="0"/>
        <v>0</v>
      </c>
      <c r="K23" s="6"/>
      <c r="M23" s="6"/>
      <c r="T23" t="s">
        <v>57</v>
      </c>
    </row>
    <row r="24" spans="1:22" x14ac:dyDescent="0.35">
      <c r="A24" t="s">
        <v>99</v>
      </c>
      <c r="B24" t="s">
        <v>14</v>
      </c>
      <c r="C24" t="s">
        <v>31</v>
      </c>
      <c r="D24">
        <v>1310000</v>
      </c>
      <c r="E24">
        <v>806807</v>
      </c>
      <c r="F24">
        <v>7300</v>
      </c>
      <c r="H24">
        <f>E24</f>
        <v>806807</v>
      </c>
      <c r="I24">
        <f>D24+E24</f>
        <v>2116807</v>
      </c>
      <c r="J24" s="6">
        <f>I24/1000</f>
        <v>2116.8069999999998</v>
      </c>
      <c r="K24" s="6"/>
      <c r="M24" s="6"/>
      <c r="P24" t="s">
        <v>51</v>
      </c>
      <c r="R24" t="s">
        <v>55</v>
      </c>
      <c r="T24" t="s">
        <v>59</v>
      </c>
    </row>
    <row r="25" spans="1:22" x14ac:dyDescent="0.35">
      <c r="A25" t="s">
        <v>79</v>
      </c>
      <c r="B25" t="s">
        <v>32</v>
      </c>
      <c r="C25" t="s">
        <v>33</v>
      </c>
      <c r="H25">
        <f t="shared" si="1"/>
        <v>0</v>
      </c>
      <c r="I25">
        <f>D25+G25</f>
        <v>0</v>
      </c>
      <c r="J25" s="6">
        <f t="shared" si="0"/>
        <v>0</v>
      </c>
      <c r="K25" s="6"/>
      <c r="M25" s="6"/>
      <c r="T25" t="s">
        <v>57</v>
      </c>
    </row>
    <row r="26" spans="1:22" x14ac:dyDescent="0.35">
      <c r="A26" t="s">
        <v>128</v>
      </c>
      <c r="B26" t="s">
        <v>6</v>
      </c>
      <c r="C26" t="s">
        <v>34</v>
      </c>
      <c r="H26">
        <f t="shared" si="1"/>
        <v>0</v>
      </c>
      <c r="I26">
        <f>D26+G26</f>
        <v>0</v>
      </c>
      <c r="J26" s="6">
        <f t="shared" si="0"/>
        <v>0</v>
      </c>
      <c r="K26" s="6"/>
      <c r="M26" s="6"/>
      <c r="T26" t="s">
        <v>57</v>
      </c>
    </row>
    <row r="27" spans="1:22" x14ac:dyDescent="0.35">
      <c r="A27" t="s">
        <v>88</v>
      </c>
      <c r="B27" t="s">
        <v>35</v>
      </c>
      <c r="C27" t="s">
        <v>36</v>
      </c>
      <c r="D27">
        <v>798</v>
      </c>
      <c r="G27">
        <v>34706</v>
      </c>
      <c r="H27">
        <f>G27</f>
        <v>34706</v>
      </c>
      <c r="I27">
        <f>D27+G27</f>
        <v>35504</v>
      </c>
      <c r="J27" s="6">
        <f t="shared" si="0"/>
        <v>35.503999999999998</v>
      </c>
      <c r="K27" s="6"/>
      <c r="M27" s="6"/>
      <c r="T27" t="s">
        <v>57</v>
      </c>
    </row>
    <row r="28" spans="1:22" x14ac:dyDescent="0.35">
      <c r="A28" t="s">
        <v>90</v>
      </c>
      <c r="B28" t="s">
        <v>35</v>
      </c>
      <c r="C28" t="s">
        <v>37</v>
      </c>
      <c r="D28">
        <v>98984</v>
      </c>
      <c r="E28">
        <v>202398</v>
      </c>
      <c r="H28">
        <f>E28</f>
        <v>202398</v>
      </c>
      <c r="I28">
        <f>D28+E28</f>
        <v>301382</v>
      </c>
      <c r="J28" s="6">
        <f t="shared" si="0"/>
        <v>301.38200000000001</v>
      </c>
      <c r="K28" s="6"/>
      <c r="M28" s="6"/>
      <c r="T28" t="s">
        <v>57</v>
      </c>
    </row>
    <row r="30" spans="1:22" x14ac:dyDescent="0.35">
      <c r="I30">
        <f>SUM(I2:I28)/1000000000</f>
        <v>0.69705331000000004</v>
      </c>
    </row>
    <row r="31" spans="1:22" x14ac:dyDescent="0.35">
      <c r="H31" t="s">
        <v>46</v>
      </c>
    </row>
    <row r="32" spans="1:22" x14ac:dyDescent="0.35">
      <c r="H32">
        <f>2.3</f>
        <v>2.2999999999999998</v>
      </c>
    </row>
    <row r="33" spans="8:13" x14ac:dyDescent="0.35">
      <c r="H33" s="1">
        <f>I30/H32</f>
        <v>0.3030666565217392</v>
      </c>
      <c r="L33" s="1"/>
      <c r="M33" s="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36BB-E173-4EF5-AFC3-E331F732ECB1}">
  <dimension ref="A1:F33"/>
  <sheetViews>
    <sheetView workbookViewId="0">
      <selection activeCell="A18" sqref="A18:XFD18"/>
    </sheetView>
  </sheetViews>
  <sheetFormatPr defaultRowHeight="14.5" x14ac:dyDescent="0.35"/>
  <cols>
    <col min="3" max="3" width="14.90625" bestFit="1" customWidth="1"/>
    <col min="4" max="4" width="11.81640625" bestFit="1" customWidth="1"/>
    <col min="5" max="5" width="10.81640625" customWidth="1"/>
  </cols>
  <sheetData>
    <row r="1" spans="1:6" x14ac:dyDescent="0.35">
      <c r="A1" s="2" t="s">
        <v>130</v>
      </c>
      <c r="B1" s="2" t="s">
        <v>38</v>
      </c>
      <c r="C1" s="2" t="s">
        <v>39</v>
      </c>
      <c r="D1" s="2" t="s">
        <v>47</v>
      </c>
      <c r="E1" s="2" t="s">
        <v>133</v>
      </c>
      <c r="F1" s="2" t="s">
        <v>49</v>
      </c>
    </row>
    <row r="2" spans="1:6" x14ac:dyDescent="0.35">
      <c r="A2" t="s">
        <v>113</v>
      </c>
      <c r="B2" t="s">
        <v>0</v>
      </c>
      <c r="C2" t="s">
        <v>1</v>
      </c>
      <c r="D2">
        <v>856785000000</v>
      </c>
      <c r="E2" s="6">
        <f>D2/1000000000</f>
        <v>856.78499999999997</v>
      </c>
      <c r="F2" t="s">
        <v>48</v>
      </c>
    </row>
    <row r="3" spans="1:6" x14ac:dyDescent="0.35">
      <c r="A3" t="s">
        <v>76</v>
      </c>
      <c r="B3" t="s">
        <v>2</v>
      </c>
      <c r="C3" t="s">
        <v>3</v>
      </c>
      <c r="E3" s="6" t="s">
        <v>134</v>
      </c>
    </row>
    <row r="4" spans="1:6" x14ac:dyDescent="0.35">
      <c r="A4" t="s">
        <v>101</v>
      </c>
      <c r="B4" t="s">
        <v>4</v>
      </c>
      <c r="C4" t="s">
        <v>5</v>
      </c>
      <c r="D4">
        <v>10714686000000</v>
      </c>
      <c r="E4" s="6">
        <f t="shared" ref="E4:E28" si="0">D4/1000000000</f>
        <v>10714.686</v>
      </c>
      <c r="F4" t="s">
        <v>48</v>
      </c>
    </row>
    <row r="5" spans="1:6" x14ac:dyDescent="0.35">
      <c r="A5" t="s">
        <v>124</v>
      </c>
      <c r="B5" t="s">
        <v>6</v>
      </c>
      <c r="C5" t="s">
        <v>7</v>
      </c>
      <c r="D5">
        <v>1548447000000</v>
      </c>
      <c r="E5" s="6">
        <f t="shared" si="0"/>
        <v>1548.4469999999999</v>
      </c>
      <c r="F5" t="s">
        <v>48</v>
      </c>
    </row>
    <row r="6" spans="1:6" x14ac:dyDescent="0.35">
      <c r="A6" t="s">
        <v>103</v>
      </c>
      <c r="B6" t="s">
        <v>4</v>
      </c>
      <c r="C6" t="s">
        <v>8</v>
      </c>
      <c r="D6">
        <v>3046944000000</v>
      </c>
      <c r="E6" s="6">
        <f t="shared" si="0"/>
        <v>3046.944</v>
      </c>
      <c r="F6" t="s">
        <v>48</v>
      </c>
    </row>
    <row r="7" spans="1:6" x14ac:dyDescent="0.35">
      <c r="A7" t="s">
        <v>83</v>
      </c>
      <c r="B7" t="s">
        <v>9</v>
      </c>
      <c r="C7" t="s">
        <v>10</v>
      </c>
      <c r="D7">
        <v>3043000000000</v>
      </c>
      <c r="E7" s="6">
        <f t="shared" si="0"/>
        <v>3043</v>
      </c>
      <c r="F7" t="s">
        <v>48</v>
      </c>
    </row>
    <row r="8" spans="1:6" x14ac:dyDescent="0.35">
      <c r="A8" t="s">
        <v>118</v>
      </c>
      <c r="B8" t="s">
        <v>11</v>
      </c>
      <c r="C8" t="s">
        <v>12</v>
      </c>
      <c r="D8">
        <v>485923000000</v>
      </c>
      <c r="E8" s="6">
        <f t="shared" si="0"/>
        <v>485.923</v>
      </c>
      <c r="F8" t="s">
        <v>48</v>
      </c>
    </row>
    <row r="9" spans="1:6" x14ac:dyDescent="0.35">
      <c r="A9" t="s">
        <v>120</v>
      </c>
      <c r="B9" t="s">
        <v>11</v>
      </c>
      <c r="C9" t="s">
        <v>13</v>
      </c>
      <c r="D9">
        <v>703700000000</v>
      </c>
      <c r="E9" s="6">
        <f t="shared" si="0"/>
        <v>703.7</v>
      </c>
      <c r="F9" t="s">
        <v>48</v>
      </c>
    </row>
    <row r="10" spans="1:6" x14ac:dyDescent="0.35">
      <c r="A10" t="s">
        <v>91</v>
      </c>
      <c r="B10" t="s">
        <v>14</v>
      </c>
      <c r="C10" t="s">
        <v>15</v>
      </c>
      <c r="D10">
        <v>1163400000000</v>
      </c>
      <c r="E10" s="6">
        <f t="shared" si="0"/>
        <v>1163.4000000000001</v>
      </c>
      <c r="F10" t="s">
        <v>48</v>
      </c>
    </row>
    <row r="11" spans="1:6" x14ac:dyDescent="0.35">
      <c r="A11" t="s">
        <v>105</v>
      </c>
      <c r="B11" t="s">
        <v>4</v>
      </c>
      <c r="C11" t="s">
        <v>16</v>
      </c>
      <c r="D11">
        <v>1546000000000</v>
      </c>
      <c r="E11" s="6">
        <f t="shared" si="0"/>
        <v>1546</v>
      </c>
      <c r="F11" t="s">
        <v>48</v>
      </c>
    </row>
    <row r="12" spans="1:6" x14ac:dyDescent="0.35">
      <c r="A12" t="s">
        <v>93</v>
      </c>
      <c r="B12" t="s">
        <v>14</v>
      </c>
      <c r="C12" t="s">
        <v>17</v>
      </c>
      <c r="D12">
        <v>737513007000</v>
      </c>
      <c r="E12" s="6">
        <f t="shared" si="0"/>
        <v>737.51300700000002</v>
      </c>
      <c r="F12" t="s">
        <v>48</v>
      </c>
    </row>
    <row r="13" spans="1:6" x14ac:dyDescent="0.35">
      <c r="A13" t="s">
        <v>74</v>
      </c>
      <c r="B13" t="s">
        <v>18</v>
      </c>
      <c r="C13" t="s">
        <v>19</v>
      </c>
      <c r="D13">
        <v>507689000000</v>
      </c>
      <c r="E13" s="6">
        <f t="shared" si="0"/>
        <v>507.68900000000002</v>
      </c>
      <c r="F13" t="s">
        <v>48</v>
      </c>
    </row>
    <row r="14" spans="1:6" x14ac:dyDescent="0.35">
      <c r="A14" t="s">
        <v>107</v>
      </c>
      <c r="B14" t="s">
        <v>4</v>
      </c>
      <c r="C14" t="s">
        <v>20</v>
      </c>
      <c r="D14">
        <v>10139000000000</v>
      </c>
      <c r="E14" s="6">
        <f t="shared" si="0"/>
        <v>10139</v>
      </c>
      <c r="F14" t="s">
        <v>48</v>
      </c>
    </row>
    <row r="15" spans="1:6" x14ac:dyDescent="0.35">
      <c r="A15" t="s">
        <v>126</v>
      </c>
      <c r="B15" t="s">
        <v>6</v>
      </c>
      <c r="C15" t="s">
        <v>21</v>
      </c>
      <c r="D15">
        <v>1505655000000</v>
      </c>
      <c r="E15" s="6">
        <f t="shared" si="0"/>
        <v>1505.655</v>
      </c>
      <c r="F15" t="s">
        <v>48</v>
      </c>
    </row>
    <row r="16" spans="1:6" x14ac:dyDescent="0.35">
      <c r="A16" t="s">
        <v>115</v>
      </c>
      <c r="B16" t="s">
        <v>0</v>
      </c>
      <c r="C16" t="s">
        <v>22</v>
      </c>
      <c r="D16">
        <v>3296300000000</v>
      </c>
      <c r="E16" s="6">
        <f t="shared" si="0"/>
        <v>3296.3</v>
      </c>
      <c r="F16" t="s">
        <v>48</v>
      </c>
    </row>
    <row r="17" spans="1:6" x14ac:dyDescent="0.35">
      <c r="A17" t="s">
        <v>122</v>
      </c>
      <c r="B17" t="s">
        <v>11</v>
      </c>
      <c r="C17" t="s">
        <v>23</v>
      </c>
      <c r="D17">
        <v>707800000000</v>
      </c>
      <c r="E17" s="6">
        <f t="shared" si="0"/>
        <v>707.8</v>
      </c>
      <c r="F17" t="s">
        <v>48</v>
      </c>
    </row>
    <row r="18" spans="1:6" x14ac:dyDescent="0.35">
      <c r="A18" t="s">
        <v>95</v>
      </c>
      <c r="B18" t="s">
        <v>14</v>
      </c>
      <c r="C18" t="s">
        <v>24</v>
      </c>
      <c r="D18">
        <v>829779000000</v>
      </c>
      <c r="E18" s="6">
        <f t="shared" si="0"/>
        <v>829.779</v>
      </c>
      <c r="F18" t="s">
        <v>48</v>
      </c>
    </row>
    <row r="19" spans="1:6" x14ac:dyDescent="0.35">
      <c r="A19" t="s">
        <v>109</v>
      </c>
      <c r="B19" t="s">
        <v>4</v>
      </c>
      <c r="C19" t="s">
        <v>25</v>
      </c>
      <c r="D19">
        <v>923300000000</v>
      </c>
      <c r="E19" s="6">
        <f t="shared" si="0"/>
        <v>923.3</v>
      </c>
      <c r="F19" t="s">
        <v>48</v>
      </c>
    </row>
    <row r="20" spans="1:6" x14ac:dyDescent="0.35">
      <c r="A20" t="s">
        <v>111</v>
      </c>
      <c r="B20" t="s">
        <v>4</v>
      </c>
      <c r="C20" t="s">
        <v>26</v>
      </c>
      <c r="D20">
        <v>2030371000000</v>
      </c>
      <c r="E20" s="6">
        <f t="shared" si="0"/>
        <v>2030.3710000000001</v>
      </c>
      <c r="F20" t="s">
        <v>48</v>
      </c>
    </row>
    <row r="21" spans="1:6" x14ac:dyDescent="0.35">
      <c r="A21" t="s">
        <v>85</v>
      </c>
      <c r="B21" t="s">
        <v>9</v>
      </c>
      <c r="C21" t="s">
        <v>27</v>
      </c>
      <c r="D21">
        <v>3908047000000</v>
      </c>
      <c r="E21" s="6">
        <f t="shared" si="0"/>
        <v>3908.047</v>
      </c>
      <c r="F21" t="s">
        <v>48</v>
      </c>
    </row>
    <row r="22" spans="1:6" x14ac:dyDescent="0.35">
      <c r="A22" t="s">
        <v>97</v>
      </c>
      <c r="B22" t="s">
        <v>14</v>
      </c>
      <c r="C22" t="s">
        <v>28</v>
      </c>
      <c r="D22">
        <v>1121550676000</v>
      </c>
      <c r="E22" s="6">
        <f>D22/1000000000</f>
        <v>1121.5506760000001</v>
      </c>
      <c r="F22" t="s">
        <v>48</v>
      </c>
    </row>
    <row r="23" spans="1:6" x14ac:dyDescent="0.35">
      <c r="A23" t="s">
        <v>81</v>
      </c>
      <c r="B23" t="s">
        <v>29</v>
      </c>
      <c r="C23" t="s">
        <v>30</v>
      </c>
      <c r="D23">
        <v>424000000000</v>
      </c>
      <c r="E23" s="6">
        <f t="shared" si="0"/>
        <v>424</v>
      </c>
      <c r="F23" t="s">
        <v>48</v>
      </c>
    </row>
    <row r="24" spans="1:6" x14ac:dyDescent="0.35">
      <c r="A24" t="s">
        <v>99</v>
      </c>
      <c r="B24" t="s">
        <v>14</v>
      </c>
      <c r="C24" t="s">
        <v>31</v>
      </c>
      <c r="D24">
        <v>7343000000</v>
      </c>
      <c r="E24" s="6">
        <f t="shared" si="0"/>
        <v>7.343</v>
      </c>
      <c r="F24" t="s">
        <v>48</v>
      </c>
    </row>
    <row r="25" spans="1:6" x14ac:dyDescent="0.35">
      <c r="A25" t="s">
        <v>79</v>
      </c>
      <c r="B25" t="s">
        <v>32</v>
      </c>
      <c r="C25" t="s">
        <v>33</v>
      </c>
      <c r="D25">
        <v>675100000000</v>
      </c>
      <c r="E25" s="6">
        <f t="shared" si="0"/>
        <v>675.1</v>
      </c>
      <c r="F25" t="s">
        <v>48</v>
      </c>
    </row>
    <row r="26" spans="1:6" x14ac:dyDescent="0.35">
      <c r="A26" t="s">
        <v>128</v>
      </c>
      <c r="B26" t="s">
        <v>6</v>
      </c>
      <c r="C26" t="s">
        <v>34</v>
      </c>
      <c r="D26">
        <v>89217099000</v>
      </c>
      <c r="E26" s="6">
        <f t="shared" si="0"/>
        <v>89.217099000000005</v>
      </c>
      <c r="F26" t="s">
        <v>48</v>
      </c>
    </row>
    <row r="27" spans="1:6" x14ac:dyDescent="0.35">
      <c r="A27" t="s">
        <v>88</v>
      </c>
      <c r="B27" t="s">
        <v>35</v>
      </c>
      <c r="C27" t="s">
        <v>36</v>
      </c>
      <c r="D27">
        <v>147573000000</v>
      </c>
      <c r="E27" s="6">
        <f t="shared" si="0"/>
        <v>147.57300000000001</v>
      </c>
      <c r="F27" t="s">
        <v>48</v>
      </c>
    </row>
    <row r="28" spans="1:6" x14ac:dyDescent="0.35">
      <c r="A28" t="s">
        <v>90</v>
      </c>
      <c r="B28" t="s">
        <v>35</v>
      </c>
      <c r="C28" t="s">
        <v>37</v>
      </c>
      <c r="D28">
        <v>798000000000</v>
      </c>
      <c r="E28" s="6">
        <f t="shared" si="0"/>
        <v>798</v>
      </c>
      <c r="F28" t="s">
        <v>48</v>
      </c>
    </row>
    <row r="30" spans="1:6" x14ac:dyDescent="0.35">
      <c r="D30">
        <f>SUM(D2:D28)</f>
        <v>50957122782000</v>
      </c>
    </row>
    <row r="32" spans="1:6" x14ac:dyDescent="0.35">
      <c r="D32">
        <v>200000000000000</v>
      </c>
    </row>
    <row r="33" spans="4:5" x14ac:dyDescent="0.35">
      <c r="D33" s="1">
        <f>D30/D32</f>
        <v>0.25478561390999999</v>
      </c>
      <c r="E33"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C3D52-5E86-46CE-B65C-F29820E96296}">
  <dimension ref="A1:Z84"/>
  <sheetViews>
    <sheetView zoomScaleNormal="100" workbookViewId="0">
      <selection activeCell="C28" sqref="C28"/>
    </sheetView>
  </sheetViews>
  <sheetFormatPr defaultRowHeight="14.5" x14ac:dyDescent="0.35"/>
  <cols>
    <col min="3" max="5" width="8.7265625" customWidth="1"/>
    <col min="6" max="6" width="5.08984375" customWidth="1"/>
    <col min="7" max="7" width="21.26953125" bestFit="1" customWidth="1"/>
    <col min="8" max="8" width="5.08984375" customWidth="1"/>
    <col min="9" max="9" width="11.81640625" bestFit="1" customWidth="1"/>
    <col min="10" max="26" width="5.08984375" customWidth="1"/>
  </cols>
  <sheetData>
    <row r="1" spans="1:26" x14ac:dyDescent="0.35">
      <c r="A1" t="s">
        <v>130</v>
      </c>
      <c r="B1" t="s">
        <v>38</v>
      </c>
      <c r="C1" t="s">
        <v>39</v>
      </c>
      <c r="D1" t="s">
        <v>261</v>
      </c>
      <c r="F1" t="s">
        <v>260</v>
      </c>
    </row>
    <row r="2" spans="1:26" x14ac:dyDescent="0.35">
      <c r="A2" t="s">
        <v>74</v>
      </c>
      <c r="B2" t="s">
        <v>18</v>
      </c>
      <c r="C2" t="s">
        <v>19</v>
      </c>
      <c r="F2" t="s">
        <v>221</v>
      </c>
      <c r="G2" t="s">
        <v>222</v>
      </c>
      <c r="H2" t="s">
        <v>62</v>
      </c>
      <c r="I2" t="s">
        <v>223</v>
      </c>
      <c r="J2" t="s">
        <v>224</v>
      </c>
      <c r="K2" t="s">
        <v>225</v>
      </c>
      <c r="L2" t="s">
        <v>226</v>
      </c>
      <c r="M2" t="s">
        <v>227</v>
      </c>
      <c r="N2" t="s">
        <v>228</v>
      </c>
      <c r="O2" t="s">
        <v>229</v>
      </c>
      <c r="P2" t="s">
        <v>230</v>
      </c>
      <c r="Q2" t="s">
        <v>231</v>
      </c>
      <c r="R2" t="s">
        <v>232</v>
      </c>
      <c r="S2" t="s">
        <v>233</v>
      </c>
      <c r="T2" t="s">
        <v>234</v>
      </c>
      <c r="U2" t="s">
        <v>235</v>
      </c>
      <c r="V2" t="s">
        <v>236</v>
      </c>
      <c r="W2" t="s">
        <v>220</v>
      </c>
      <c r="X2" t="s">
        <v>68</v>
      </c>
    </row>
    <row r="3" spans="1:26" x14ac:dyDescent="0.35">
      <c r="A3" t="s">
        <v>76</v>
      </c>
      <c r="B3" t="s">
        <v>2</v>
      </c>
      <c r="C3" t="s">
        <v>3</v>
      </c>
    </row>
    <row r="4" spans="1:26" x14ac:dyDescent="0.35">
      <c r="A4" t="s">
        <v>79</v>
      </c>
      <c r="B4" t="s">
        <v>32</v>
      </c>
      <c r="C4" t="s">
        <v>33</v>
      </c>
      <c r="F4" t="s">
        <v>220</v>
      </c>
    </row>
    <row r="5" spans="1:26" x14ac:dyDescent="0.35">
      <c r="A5" t="s">
        <v>81</v>
      </c>
      <c r="B5" t="s">
        <v>29</v>
      </c>
      <c r="C5" t="s">
        <v>30</v>
      </c>
      <c r="F5" t="s">
        <v>220</v>
      </c>
    </row>
    <row r="6" spans="1:26" x14ac:dyDescent="0.35">
      <c r="A6" t="s">
        <v>83</v>
      </c>
      <c r="B6" t="s">
        <v>9</v>
      </c>
      <c r="C6" t="s">
        <v>10</v>
      </c>
      <c r="F6" t="s">
        <v>221</v>
      </c>
      <c r="G6" t="s">
        <v>222</v>
      </c>
      <c r="H6" t="s">
        <v>62</v>
      </c>
      <c r="I6" t="s">
        <v>224</v>
      </c>
      <c r="J6" t="s">
        <v>225</v>
      </c>
      <c r="K6" t="s">
        <v>226</v>
      </c>
      <c r="L6" t="s">
        <v>227</v>
      </c>
      <c r="M6" t="s">
        <v>228</v>
      </c>
      <c r="N6" t="s">
        <v>229</v>
      </c>
      <c r="O6" t="s">
        <v>230</v>
      </c>
      <c r="P6" t="s">
        <v>231</v>
      </c>
      <c r="Q6" t="s">
        <v>232</v>
      </c>
      <c r="R6" t="s">
        <v>233</v>
      </c>
      <c r="S6" t="s">
        <v>234</v>
      </c>
      <c r="T6" t="s">
        <v>235</v>
      </c>
      <c r="U6" t="s">
        <v>236</v>
      </c>
      <c r="V6" t="s">
        <v>220</v>
      </c>
    </row>
    <row r="7" spans="1:26" x14ac:dyDescent="0.35">
      <c r="A7" t="s">
        <v>85</v>
      </c>
      <c r="B7" t="s">
        <v>9</v>
      </c>
      <c r="C7" t="s">
        <v>27</v>
      </c>
      <c r="F7" t="s">
        <v>221</v>
      </c>
      <c r="G7" t="s">
        <v>237</v>
      </c>
      <c r="H7" t="s">
        <v>238</v>
      </c>
      <c r="I7" t="s">
        <v>222</v>
      </c>
      <c r="J7" t="s">
        <v>62</v>
      </c>
      <c r="K7" t="s">
        <v>223</v>
      </c>
      <c r="L7" t="s">
        <v>224</v>
      </c>
      <c r="M7" t="s">
        <v>225</v>
      </c>
      <c r="N7" t="s">
        <v>226</v>
      </c>
      <c r="O7" t="s">
        <v>227</v>
      </c>
      <c r="P7" t="s">
        <v>228</v>
      </c>
      <c r="Q7" t="s">
        <v>229</v>
      </c>
      <c r="R7" t="s">
        <v>230</v>
      </c>
      <c r="S7" t="s">
        <v>231</v>
      </c>
      <c r="T7" t="s">
        <v>232</v>
      </c>
      <c r="U7" t="s">
        <v>233</v>
      </c>
      <c r="V7" t="s">
        <v>234</v>
      </c>
      <c r="W7" t="s">
        <v>235</v>
      </c>
      <c r="X7" t="s">
        <v>236</v>
      </c>
      <c r="Y7" t="s">
        <v>220</v>
      </c>
      <c r="Z7" t="s">
        <v>68</v>
      </c>
    </row>
    <row r="8" spans="1:26" x14ac:dyDescent="0.35">
      <c r="A8" t="s">
        <v>90</v>
      </c>
      <c r="B8" t="s">
        <v>35</v>
      </c>
      <c r="C8" t="s">
        <v>37</v>
      </c>
      <c r="F8" t="s">
        <v>221</v>
      </c>
      <c r="G8" t="s">
        <v>238</v>
      </c>
      <c r="H8" t="s">
        <v>222</v>
      </c>
      <c r="I8" t="s">
        <v>62</v>
      </c>
      <c r="J8" t="s">
        <v>223</v>
      </c>
      <c r="K8" t="s">
        <v>224</v>
      </c>
      <c r="L8" t="s">
        <v>225</v>
      </c>
      <c r="M8" t="s">
        <v>226</v>
      </c>
      <c r="N8" t="s">
        <v>227</v>
      </c>
      <c r="O8" t="s">
        <v>229</v>
      </c>
      <c r="P8" t="s">
        <v>231</v>
      </c>
      <c r="Q8" t="s">
        <v>232</v>
      </c>
      <c r="R8" t="s">
        <v>233</v>
      </c>
      <c r="S8" t="s">
        <v>235</v>
      </c>
      <c r="T8" t="s">
        <v>236</v>
      </c>
      <c r="U8" t="s">
        <v>220</v>
      </c>
    </row>
    <row r="9" spans="1:26" x14ac:dyDescent="0.35">
      <c r="A9" t="s">
        <v>88</v>
      </c>
      <c r="B9" t="s">
        <v>35</v>
      </c>
      <c r="C9" t="s">
        <v>36</v>
      </c>
      <c r="F9" t="s">
        <v>221</v>
      </c>
      <c r="G9" t="s">
        <v>222</v>
      </c>
      <c r="H9" t="s">
        <v>62</v>
      </c>
      <c r="I9" t="s">
        <v>223</v>
      </c>
      <c r="J9" t="s">
        <v>224</v>
      </c>
      <c r="K9" t="s">
        <v>225</v>
      </c>
      <c r="L9" t="s">
        <v>226</v>
      </c>
      <c r="M9" t="s">
        <v>227</v>
      </c>
      <c r="N9" t="s">
        <v>229</v>
      </c>
      <c r="O9" t="s">
        <v>231</v>
      </c>
      <c r="P9" t="s">
        <v>232</v>
      </c>
      <c r="Q9" t="s">
        <v>233</v>
      </c>
      <c r="R9" t="s">
        <v>234</v>
      </c>
      <c r="S9" t="s">
        <v>235</v>
      </c>
      <c r="T9" t="s">
        <v>236</v>
      </c>
      <c r="U9" t="s">
        <v>220</v>
      </c>
    </row>
    <row r="10" spans="1:26" x14ac:dyDescent="0.35">
      <c r="A10" t="s">
        <v>91</v>
      </c>
      <c r="B10" t="s">
        <v>14</v>
      </c>
      <c r="C10" t="s">
        <v>15</v>
      </c>
      <c r="F10" t="s">
        <v>221</v>
      </c>
      <c r="G10" t="s">
        <v>238</v>
      </c>
      <c r="H10" t="s">
        <v>222</v>
      </c>
      <c r="I10" t="s">
        <v>62</v>
      </c>
      <c r="J10" t="s">
        <v>223</v>
      </c>
      <c r="K10" t="s">
        <v>224</v>
      </c>
      <c r="L10" t="s">
        <v>225</v>
      </c>
      <c r="M10" t="s">
        <v>226</v>
      </c>
      <c r="N10" t="s">
        <v>227</v>
      </c>
      <c r="O10" t="s">
        <v>228</v>
      </c>
      <c r="P10" t="s">
        <v>229</v>
      </c>
      <c r="Q10" t="s">
        <v>230</v>
      </c>
      <c r="R10" t="s">
        <v>231</v>
      </c>
      <c r="S10" t="s">
        <v>232</v>
      </c>
      <c r="T10" t="s">
        <v>233</v>
      </c>
      <c r="U10" t="s">
        <v>234</v>
      </c>
      <c r="V10" t="s">
        <v>235</v>
      </c>
      <c r="W10" t="s">
        <v>236</v>
      </c>
      <c r="X10" t="s">
        <v>220</v>
      </c>
      <c r="Y10" t="s">
        <v>68</v>
      </c>
    </row>
    <row r="11" spans="1:26" x14ac:dyDescent="0.35">
      <c r="A11" t="s">
        <v>93</v>
      </c>
      <c r="B11" t="s">
        <v>14</v>
      </c>
      <c r="C11" t="s">
        <v>17</v>
      </c>
      <c r="F11" t="s">
        <v>221</v>
      </c>
      <c r="G11" t="s">
        <v>237</v>
      </c>
      <c r="H11" t="s">
        <v>238</v>
      </c>
      <c r="I11" t="s">
        <v>222</v>
      </c>
      <c r="J11" t="s">
        <v>62</v>
      </c>
      <c r="K11" t="s">
        <v>223</v>
      </c>
      <c r="L11" t="s">
        <v>224</v>
      </c>
      <c r="M11" t="s">
        <v>225</v>
      </c>
      <c r="N11" t="s">
        <v>226</v>
      </c>
      <c r="O11" t="s">
        <v>227</v>
      </c>
      <c r="P11" t="s">
        <v>228</v>
      </c>
      <c r="Q11" t="s">
        <v>229</v>
      </c>
      <c r="R11" t="s">
        <v>230</v>
      </c>
      <c r="S11" t="s">
        <v>231</v>
      </c>
      <c r="T11" t="s">
        <v>232</v>
      </c>
      <c r="U11" t="s">
        <v>233</v>
      </c>
      <c r="V11" t="s">
        <v>234</v>
      </c>
      <c r="W11" t="s">
        <v>235</v>
      </c>
      <c r="X11" t="s">
        <v>236</v>
      </c>
      <c r="Y11" t="s">
        <v>220</v>
      </c>
      <c r="Z11" t="s">
        <v>68</v>
      </c>
    </row>
    <row r="12" spans="1:26" x14ac:dyDescent="0.35">
      <c r="A12" t="s">
        <v>95</v>
      </c>
      <c r="B12" t="s">
        <v>14</v>
      </c>
      <c r="C12" t="s">
        <v>24</v>
      </c>
      <c r="F12" t="s">
        <v>221</v>
      </c>
      <c r="G12" t="s">
        <v>237</v>
      </c>
      <c r="H12" t="s">
        <v>238</v>
      </c>
      <c r="I12" t="s">
        <v>222</v>
      </c>
      <c r="J12" t="s">
        <v>62</v>
      </c>
      <c r="K12" t="s">
        <v>223</v>
      </c>
      <c r="L12" t="s">
        <v>224</v>
      </c>
      <c r="M12" t="s">
        <v>225</v>
      </c>
      <c r="N12" t="s">
        <v>226</v>
      </c>
      <c r="O12" t="s">
        <v>227</v>
      </c>
      <c r="P12" t="s">
        <v>228</v>
      </c>
      <c r="Q12" t="s">
        <v>229</v>
      </c>
      <c r="R12" t="s">
        <v>230</v>
      </c>
      <c r="S12" t="s">
        <v>231</v>
      </c>
      <c r="T12" t="s">
        <v>232</v>
      </c>
      <c r="U12" t="s">
        <v>233</v>
      </c>
      <c r="V12" t="s">
        <v>234</v>
      </c>
      <c r="W12" t="s">
        <v>235</v>
      </c>
      <c r="X12" t="s">
        <v>236</v>
      </c>
      <c r="Y12" t="s">
        <v>220</v>
      </c>
      <c r="Z12" t="s">
        <v>68</v>
      </c>
    </row>
    <row r="13" spans="1:26" x14ac:dyDescent="0.35">
      <c r="A13" t="s">
        <v>97</v>
      </c>
      <c r="B13" t="s">
        <v>14</v>
      </c>
      <c r="C13" t="s">
        <v>28</v>
      </c>
      <c r="F13" t="s">
        <v>221</v>
      </c>
      <c r="G13" t="s">
        <v>222</v>
      </c>
      <c r="H13" t="s">
        <v>62</v>
      </c>
      <c r="I13" t="s">
        <v>224</v>
      </c>
      <c r="J13" t="s">
        <v>225</v>
      </c>
      <c r="K13" t="s">
        <v>226</v>
      </c>
      <c r="L13" t="s">
        <v>227</v>
      </c>
      <c r="M13" t="s">
        <v>228</v>
      </c>
      <c r="N13" t="s">
        <v>229</v>
      </c>
      <c r="O13" t="s">
        <v>230</v>
      </c>
      <c r="P13" t="s">
        <v>231</v>
      </c>
      <c r="Q13" t="s">
        <v>232</v>
      </c>
      <c r="R13" t="s">
        <v>233</v>
      </c>
      <c r="S13" t="s">
        <v>234</v>
      </c>
      <c r="T13" t="s">
        <v>235</v>
      </c>
      <c r="U13" t="s">
        <v>236</v>
      </c>
      <c r="V13" t="s">
        <v>220</v>
      </c>
      <c r="W13" t="s">
        <v>68</v>
      </c>
    </row>
    <row r="14" spans="1:26" x14ac:dyDescent="0.35">
      <c r="A14" t="s">
        <v>99</v>
      </c>
      <c r="B14" t="s">
        <v>14</v>
      </c>
      <c r="C14" t="s">
        <v>31</v>
      </c>
      <c r="F14" t="s">
        <v>221</v>
      </c>
      <c r="G14" t="s">
        <v>237</v>
      </c>
      <c r="H14" t="s">
        <v>238</v>
      </c>
      <c r="I14" t="s">
        <v>222</v>
      </c>
      <c r="J14" t="s">
        <v>62</v>
      </c>
      <c r="K14" t="s">
        <v>223</v>
      </c>
      <c r="L14" t="s">
        <v>224</v>
      </c>
      <c r="M14" t="s">
        <v>225</v>
      </c>
      <c r="N14" t="s">
        <v>226</v>
      </c>
      <c r="O14" t="s">
        <v>227</v>
      </c>
      <c r="P14" t="s">
        <v>228</v>
      </c>
      <c r="Q14" t="s">
        <v>229</v>
      </c>
      <c r="R14" t="s">
        <v>230</v>
      </c>
      <c r="S14" t="s">
        <v>231</v>
      </c>
      <c r="T14" t="s">
        <v>232</v>
      </c>
      <c r="U14" t="s">
        <v>233</v>
      </c>
      <c r="V14" t="s">
        <v>234</v>
      </c>
      <c r="W14" t="s">
        <v>235</v>
      </c>
      <c r="X14" t="s">
        <v>236</v>
      </c>
      <c r="Y14" t="s">
        <v>220</v>
      </c>
      <c r="Z14" t="s">
        <v>68</v>
      </c>
    </row>
    <row r="15" spans="1:26" x14ac:dyDescent="0.35">
      <c r="A15" t="s">
        <v>101</v>
      </c>
      <c r="B15" t="s">
        <v>4</v>
      </c>
      <c r="C15" t="s">
        <v>5</v>
      </c>
      <c r="F15" t="s">
        <v>221</v>
      </c>
      <c r="G15" t="s">
        <v>222</v>
      </c>
      <c r="H15" t="s">
        <v>62</v>
      </c>
      <c r="I15" t="s">
        <v>223</v>
      </c>
      <c r="J15" t="s">
        <v>224</v>
      </c>
      <c r="K15" t="s">
        <v>225</v>
      </c>
      <c r="L15" t="s">
        <v>226</v>
      </c>
      <c r="M15" t="s">
        <v>227</v>
      </c>
      <c r="N15" t="s">
        <v>228</v>
      </c>
      <c r="O15" t="s">
        <v>229</v>
      </c>
      <c r="P15" t="s">
        <v>230</v>
      </c>
      <c r="Q15" t="s">
        <v>231</v>
      </c>
      <c r="R15" t="s">
        <v>232</v>
      </c>
      <c r="S15" t="s">
        <v>234</v>
      </c>
      <c r="T15" t="s">
        <v>235</v>
      </c>
      <c r="U15" t="s">
        <v>236</v>
      </c>
      <c r="V15" t="s">
        <v>220</v>
      </c>
    </row>
    <row r="16" spans="1:26" x14ac:dyDescent="0.35">
      <c r="A16" t="s">
        <v>103</v>
      </c>
      <c r="B16" t="s">
        <v>4</v>
      </c>
      <c r="C16" t="s">
        <v>8</v>
      </c>
      <c r="F16" t="s">
        <v>221</v>
      </c>
      <c r="G16" t="s">
        <v>238</v>
      </c>
      <c r="H16" t="s">
        <v>222</v>
      </c>
      <c r="I16" t="s">
        <v>62</v>
      </c>
      <c r="J16" t="s">
        <v>223</v>
      </c>
      <c r="K16" t="s">
        <v>224</v>
      </c>
      <c r="L16" t="s">
        <v>225</v>
      </c>
      <c r="M16" t="s">
        <v>226</v>
      </c>
      <c r="N16" t="s">
        <v>227</v>
      </c>
      <c r="O16" t="s">
        <v>229</v>
      </c>
      <c r="P16" t="s">
        <v>230</v>
      </c>
      <c r="Q16" t="s">
        <v>231</v>
      </c>
      <c r="R16" t="s">
        <v>232</v>
      </c>
      <c r="S16" t="s">
        <v>233</v>
      </c>
      <c r="T16" t="s">
        <v>234</v>
      </c>
      <c r="U16" t="s">
        <v>235</v>
      </c>
      <c r="V16" t="s">
        <v>236</v>
      </c>
      <c r="W16" t="s">
        <v>220</v>
      </c>
      <c r="X16" t="s">
        <v>68</v>
      </c>
    </row>
    <row r="17" spans="1:25" x14ac:dyDescent="0.35">
      <c r="A17" t="s">
        <v>105</v>
      </c>
      <c r="B17" t="s">
        <v>4</v>
      </c>
      <c r="C17" t="s">
        <v>16</v>
      </c>
      <c r="F17" t="s">
        <v>221</v>
      </c>
      <c r="G17" t="s">
        <v>238</v>
      </c>
      <c r="H17" t="s">
        <v>222</v>
      </c>
      <c r="I17" t="s">
        <v>62</v>
      </c>
      <c r="J17" t="s">
        <v>223</v>
      </c>
      <c r="K17" t="s">
        <v>224</v>
      </c>
      <c r="L17" t="s">
        <v>225</v>
      </c>
      <c r="M17" t="s">
        <v>226</v>
      </c>
      <c r="N17" t="s">
        <v>227</v>
      </c>
      <c r="O17" t="s">
        <v>228</v>
      </c>
      <c r="P17" t="s">
        <v>229</v>
      </c>
      <c r="Q17" t="s">
        <v>230</v>
      </c>
      <c r="R17" t="s">
        <v>231</v>
      </c>
      <c r="S17" t="s">
        <v>232</v>
      </c>
      <c r="T17" t="s">
        <v>233</v>
      </c>
      <c r="U17" t="s">
        <v>234</v>
      </c>
      <c r="V17" t="s">
        <v>235</v>
      </c>
      <c r="W17" t="s">
        <v>236</v>
      </c>
      <c r="X17" t="s">
        <v>220</v>
      </c>
      <c r="Y17" t="s">
        <v>68</v>
      </c>
    </row>
    <row r="18" spans="1:25" x14ac:dyDescent="0.35">
      <c r="A18" t="s">
        <v>107</v>
      </c>
      <c r="B18" t="s">
        <v>4</v>
      </c>
      <c r="C18" t="s">
        <v>20</v>
      </c>
      <c r="F18" t="s">
        <v>221</v>
      </c>
      <c r="G18" t="s">
        <v>222</v>
      </c>
      <c r="H18" t="s">
        <v>62</v>
      </c>
      <c r="I18" t="s">
        <v>223</v>
      </c>
      <c r="J18" t="s">
        <v>224</v>
      </c>
      <c r="K18" t="s">
        <v>225</v>
      </c>
      <c r="L18" t="s">
        <v>226</v>
      </c>
      <c r="M18" t="s">
        <v>227</v>
      </c>
      <c r="N18" t="s">
        <v>228</v>
      </c>
      <c r="O18" t="s">
        <v>229</v>
      </c>
      <c r="P18" t="s">
        <v>230</v>
      </c>
      <c r="Q18" t="s">
        <v>231</v>
      </c>
      <c r="R18" t="s">
        <v>232</v>
      </c>
      <c r="S18" t="s">
        <v>234</v>
      </c>
      <c r="T18" t="s">
        <v>235</v>
      </c>
      <c r="U18" t="s">
        <v>236</v>
      </c>
      <c r="V18" t="s">
        <v>220</v>
      </c>
    </row>
    <row r="19" spans="1:25" x14ac:dyDescent="0.35">
      <c r="A19" t="s">
        <v>109</v>
      </c>
      <c r="B19" t="s">
        <v>4</v>
      </c>
      <c r="C19" t="s">
        <v>25</v>
      </c>
    </row>
    <row r="20" spans="1:25" x14ac:dyDescent="0.35">
      <c r="A20" t="s">
        <v>111</v>
      </c>
      <c r="B20" t="s">
        <v>4</v>
      </c>
      <c r="C20" t="s">
        <v>26</v>
      </c>
      <c r="F20" t="s">
        <v>221</v>
      </c>
      <c r="G20" t="s">
        <v>222</v>
      </c>
      <c r="H20" t="s">
        <v>62</v>
      </c>
      <c r="I20" t="s">
        <v>223</v>
      </c>
      <c r="J20" t="s">
        <v>224</v>
      </c>
      <c r="K20" t="s">
        <v>225</v>
      </c>
      <c r="L20" t="s">
        <v>227</v>
      </c>
      <c r="M20" t="s">
        <v>229</v>
      </c>
      <c r="N20" t="s">
        <v>230</v>
      </c>
      <c r="O20" t="s">
        <v>234</v>
      </c>
      <c r="P20" t="s">
        <v>235</v>
      </c>
      <c r="Q20" t="s">
        <v>236</v>
      </c>
      <c r="R20" t="s">
        <v>220</v>
      </c>
      <c r="S20" t="s">
        <v>68</v>
      </c>
    </row>
    <row r="21" spans="1:25" x14ac:dyDescent="0.35">
      <c r="A21" t="s">
        <v>113</v>
      </c>
      <c r="B21" t="s">
        <v>0</v>
      </c>
      <c r="C21" t="s">
        <v>1</v>
      </c>
      <c r="F21" t="s">
        <v>221</v>
      </c>
      <c r="G21" t="s">
        <v>222</v>
      </c>
      <c r="H21" t="s">
        <v>62</v>
      </c>
      <c r="I21" t="s">
        <v>224</v>
      </c>
      <c r="J21" t="s">
        <v>228</v>
      </c>
      <c r="K21" t="s">
        <v>229</v>
      </c>
      <c r="L21" t="s">
        <v>230</v>
      </c>
      <c r="M21" t="s">
        <v>231</v>
      </c>
      <c r="N21" t="s">
        <v>232</v>
      </c>
      <c r="O21" t="s">
        <v>233</v>
      </c>
      <c r="P21" t="s">
        <v>234</v>
      </c>
      <c r="Q21" t="s">
        <v>235</v>
      </c>
      <c r="R21" t="s">
        <v>236</v>
      </c>
      <c r="S21" t="s">
        <v>220</v>
      </c>
      <c r="T21" t="s">
        <v>68</v>
      </c>
    </row>
    <row r="22" spans="1:25" x14ac:dyDescent="0.35">
      <c r="A22" t="s">
        <v>115</v>
      </c>
      <c r="B22" t="s">
        <v>0</v>
      </c>
      <c r="C22" t="s">
        <v>22</v>
      </c>
      <c r="F22" t="s">
        <v>221</v>
      </c>
      <c r="G22" t="s">
        <v>222</v>
      </c>
      <c r="H22" t="s">
        <v>62</v>
      </c>
      <c r="I22" t="s">
        <v>223</v>
      </c>
      <c r="J22" t="s">
        <v>224</v>
      </c>
      <c r="K22" t="s">
        <v>225</v>
      </c>
      <c r="L22" t="s">
        <v>227</v>
      </c>
      <c r="M22" t="s">
        <v>228</v>
      </c>
      <c r="N22" t="s">
        <v>229</v>
      </c>
      <c r="O22" t="s">
        <v>230</v>
      </c>
      <c r="P22" t="s">
        <v>231</v>
      </c>
      <c r="Q22" t="s">
        <v>232</v>
      </c>
      <c r="R22" t="s">
        <v>233</v>
      </c>
      <c r="S22" t="s">
        <v>234</v>
      </c>
      <c r="T22" t="s">
        <v>235</v>
      </c>
      <c r="U22" t="s">
        <v>236</v>
      </c>
      <c r="V22" t="s">
        <v>220</v>
      </c>
    </row>
    <row r="23" spans="1:25" x14ac:dyDescent="0.35">
      <c r="A23" t="s">
        <v>118</v>
      </c>
      <c r="B23" t="s">
        <v>11</v>
      </c>
      <c r="C23" t="s">
        <v>12</v>
      </c>
    </row>
    <row r="24" spans="1:25" x14ac:dyDescent="0.35">
      <c r="A24" t="s">
        <v>120</v>
      </c>
      <c r="B24" t="s">
        <v>11</v>
      </c>
      <c r="C24" t="s">
        <v>13</v>
      </c>
      <c r="F24" t="s">
        <v>221</v>
      </c>
      <c r="G24" t="s">
        <v>238</v>
      </c>
      <c r="H24" t="s">
        <v>222</v>
      </c>
      <c r="I24" t="s">
        <v>62</v>
      </c>
      <c r="J24" t="s">
        <v>68</v>
      </c>
    </row>
    <row r="25" spans="1:25" x14ac:dyDescent="0.35">
      <c r="A25" t="s">
        <v>122</v>
      </c>
      <c r="B25" t="s">
        <v>11</v>
      </c>
      <c r="C25" t="s">
        <v>23</v>
      </c>
      <c r="F25" t="s">
        <v>221</v>
      </c>
      <c r="G25" t="s">
        <v>222</v>
      </c>
      <c r="H25" t="s">
        <v>62</v>
      </c>
      <c r="I25" t="s">
        <v>224</v>
      </c>
      <c r="J25" t="s">
        <v>225</v>
      </c>
      <c r="K25" t="s">
        <v>226</v>
      </c>
      <c r="L25" t="s">
        <v>227</v>
      </c>
      <c r="M25" t="s">
        <v>228</v>
      </c>
      <c r="N25" t="s">
        <v>229</v>
      </c>
      <c r="O25" t="s">
        <v>231</v>
      </c>
      <c r="P25" t="s">
        <v>232</v>
      </c>
      <c r="Q25" t="s">
        <v>68</v>
      </c>
    </row>
    <row r="26" spans="1:25" x14ac:dyDescent="0.35">
      <c r="A26" t="s">
        <v>124</v>
      </c>
      <c r="B26" t="s">
        <v>6</v>
      </c>
      <c r="C26" t="s">
        <v>7</v>
      </c>
      <c r="F26" t="s">
        <v>221</v>
      </c>
    </row>
    <row r="27" spans="1:25" x14ac:dyDescent="0.35">
      <c r="A27" t="s">
        <v>126</v>
      </c>
      <c r="B27" t="s">
        <v>6</v>
      </c>
      <c r="C27" t="s">
        <v>21</v>
      </c>
      <c r="F27" t="s">
        <v>221</v>
      </c>
      <c r="G27" t="s">
        <v>223</v>
      </c>
      <c r="H27" t="s">
        <v>224</v>
      </c>
      <c r="I27" t="s">
        <v>226</v>
      </c>
      <c r="J27" t="s">
        <v>227</v>
      </c>
      <c r="K27" t="s">
        <v>228</v>
      </c>
      <c r="L27" t="s">
        <v>229</v>
      </c>
      <c r="M27" t="s">
        <v>230</v>
      </c>
      <c r="N27" t="s">
        <v>231</v>
      </c>
      <c r="O27" t="s">
        <v>232</v>
      </c>
      <c r="P27" t="s">
        <v>234</v>
      </c>
      <c r="Q27" t="s">
        <v>235</v>
      </c>
      <c r="R27" t="s">
        <v>236</v>
      </c>
      <c r="S27" t="s">
        <v>220</v>
      </c>
    </row>
    <row r="28" spans="1:25" x14ac:dyDescent="0.35">
      <c r="A28" t="s">
        <v>128</v>
      </c>
      <c r="B28" t="s">
        <v>6</v>
      </c>
      <c r="C28" t="s">
        <v>34</v>
      </c>
    </row>
    <row r="29" spans="1:25" x14ac:dyDescent="0.35">
      <c r="F29">
        <f>(27-COUNTBLANK(F2:F28))/27</f>
        <v>0.85185185185185186</v>
      </c>
    </row>
    <row r="31" spans="1:25" x14ac:dyDescent="0.35">
      <c r="F31" t="s">
        <v>259</v>
      </c>
      <c r="I31" t="s">
        <v>257</v>
      </c>
      <c r="K31" t="s">
        <v>258</v>
      </c>
    </row>
    <row r="33" spans="6:11" x14ac:dyDescent="0.35">
      <c r="F33" t="s">
        <v>223</v>
      </c>
      <c r="G33" s="20" t="s">
        <v>243</v>
      </c>
      <c r="I33" s="19">
        <f t="shared" ref="I33:I40" si="0">K33/27*100</f>
        <v>55.555555555555557</v>
      </c>
      <c r="K33">
        <f t="shared" ref="K33:K40" si="1">COUNTIF($F$2:$Z$27,F33)</f>
        <v>15</v>
      </c>
    </row>
    <row r="34" spans="6:11" x14ac:dyDescent="0.35">
      <c r="F34" t="s">
        <v>224</v>
      </c>
      <c r="G34" s="20" t="s">
        <v>244</v>
      </c>
      <c r="I34" s="19">
        <f t="shared" si="0"/>
        <v>70.370370370370367</v>
      </c>
      <c r="K34">
        <f t="shared" si="1"/>
        <v>19</v>
      </c>
    </row>
    <row r="35" spans="6:11" x14ac:dyDescent="0.35">
      <c r="F35" t="s">
        <v>225</v>
      </c>
      <c r="G35" s="20" t="s">
        <v>266</v>
      </c>
      <c r="I35" s="19">
        <f t="shared" si="0"/>
        <v>62.962962962962962</v>
      </c>
      <c r="K35">
        <f t="shared" si="1"/>
        <v>17</v>
      </c>
    </row>
    <row r="36" spans="6:11" x14ac:dyDescent="0.35">
      <c r="F36" t="s">
        <v>226</v>
      </c>
      <c r="G36" s="20" t="s">
        <v>245</v>
      </c>
      <c r="I36" s="19">
        <f t="shared" si="0"/>
        <v>59.259259259259252</v>
      </c>
      <c r="K36">
        <f t="shared" si="1"/>
        <v>16</v>
      </c>
    </row>
    <row r="37" spans="6:11" x14ac:dyDescent="0.35">
      <c r="F37" t="s">
        <v>227</v>
      </c>
      <c r="G37" s="20" t="s">
        <v>246</v>
      </c>
      <c r="I37" s="19">
        <f t="shared" si="0"/>
        <v>66.666666666666657</v>
      </c>
      <c r="K37">
        <f t="shared" si="1"/>
        <v>18</v>
      </c>
    </row>
    <row r="38" spans="6:11" x14ac:dyDescent="0.35">
      <c r="F38" t="s">
        <v>228</v>
      </c>
      <c r="G38" s="20" t="s">
        <v>247</v>
      </c>
      <c r="I38" s="19">
        <f t="shared" si="0"/>
        <v>55.555555555555557</v>
      </c>
      <c r="K38">
        <f t="shared" si="1"/>
        <v>15</v>
      </c>
    </row>
    <row r="39" spans="6:11" x14ac:dyDescent="0.35">
      <c r="F39" t="s">
        <v>229</v>
      </c>
      <c r="G39" s="20" t="s">
        <v>248</v>
      </c>
      <c r="I39" s="19">
        <f t="shared" si="0"/>
        <v>70.370370370370367</v>
      </c>
      <c r="K39">
        <f t="shared" si="1"/>
        <v>19</v>
      </c>
    </row>
    <row r="40" spans="6:11" x14ac:dyDescent="0.35">
      <c r="F40" t="s">
        <v>230</v>
      </c>
      <c r="G40" s="20" t="s">
        <v>249</v>
      </c>
      <c r="I40" s="19">
        <f t="shared" si="0"/>
        <v>59.259259259259252</v>
      </c>
      <c r="K40">
        <f t="shared" si="1"/>
        <v>16</v>
      </c>
    </row>
    <row r="41" spans="6:11" x14ac:dyDescent="0.35">
      <c r="G41" s="4"/>
    </row>
    <row r="42" spans="6:11" x14ac:dyDescent="0.35">
      <c r="F42" t="s">
        <v>221</v>
      </c>
      <c r="G42" s="20" t="s">
        <v>239</v>
      </c>
      <c r="I42" s="19">
        <f>K42/27*100</f>
        <v>77.777777777777786</v>
      </c>
      <c r="K42">
        <f>COUNTIF($F$2:$Z$27,F42)</f>
        <v>21</v>
      </c>
    </row>
    <row r="43" spans="6:11" x14ac:dyDescent="0.35">
      <c r="F43" t="s">
        <v>222</v>
      </c>
      <c r="G43" s="20" t="s">
        <v>240</v>
      </c>
      <c r="I43" s="19">
        <f>K43/27*100</f>
        <v>70.370370370370367</v>
      </c>
      <c r="K43">
        <f>COUNTIF($F$2:$Z$27,F43)</f>
        <v>19</v>
      </c>
    </row>
    <row r="44" spans="6:11" x14ac:dyDescent="0.35">
      <c r="F44" t="s">
        <v>238</v>
      </c>
      <c r="G44" s="20" t="s">
        <v>241</v>
      </c>
      <c r="I44" s="19">
        <f>K44/27*100</f>
        <v>33.333333333333329</v>
      </c>
      <c r="K44">
        <f>COUNTIF($F$2:$Z$27,F44)</f>
        <v>9</v>
      </c>
    </row>
    <row r="45" spans="6:11" x14ac:dyDescent="0.35">
      <c r="F45" t="s">
        <v>237</v>
      </c>
      <c r="G45" s="20" t="s">
        <v>242</v>
      </c>
      <c r="I45" s="19">
        <f>K45/27*100</f>
        <v>14.814814814814813</v>
      </c>
      <c r="K45">
        <f>COUNTIF($F$2:$Z$27,F45)</f>
        <v>4</v>
      </c>
    </row>
    <row r="46" spans="6:11" x14ac:dyDescent="0.35">
      <c r="G46" s="4"/>
    </row>
    <row r="47" spans="6:11" x14ac:dyDescent="0.35">
      <c r="F47" t="s">
        <v>231</v>
      </c>
      <c r="G47" s="20" t="s">
        <v>250</v>
      </c>
      <c r="I47" s="19">
        <f t="shared" ref="I47:I53" si="2">K47/27*100</f>
        <v>66.666666666666657</v>
      </c>
      <c r="K47">
        <f t="shared" ref="K47:K53" si="3">COUNTIF($F$2:$Z$27,F47)</f>
        <v>18</v>
      </c>
    </row>
    <row r="48" spans="6:11" x14ac:dyDescent="0.35">
      <c r="F48" t="s">
        <v>232</v>
      </c>
      <c r="G48" s="20" t="s">
        <v>251</v>
      </c>
      <c r="I48" s="19">
        <f t="shared" si="2"/>
        <v>66.666666666666657</v>
      </c>
      <c r="K48">
        <f t="shared" si="3"/>
        <v>18</v>
      </c>
    </row>
    <row r="49" spans="1:11" x14ac:dyDescent="0.35">
      <c r="F49" t="s">
        <v>233</v>
      </c>
      <c r="G49" s="20" t="s">
        <v>252</v>
      </c>
      <c r="I49" s="19">
        <f t="shared" si="2"/>
        <v>51.851851851851848</v>
      </c>
      <c r="K49">
        <f t="shared" si="3"/>
        <v>14</v>
      </c>
    </row>
    <row r="50" spans="1:11" x14ac:dyDescent="0.35">
      <c r="F50" t="s">
        <v>234</v>
      </c>
      <c r="G50" s="20" t="s">
        <v>253</v>
      </c>
      <c r="I50" s="19">
        <f t="shared" si="2"/>
        <v>62.962962962962962</v>
      </c>
      <c r="K50">
        <f t="shared" si="3"/>
        <v>17</v>
      </c>
    </row>
    <row r="51" spans="1:11" x14ac:dyDescent="0.35">
      <c r="F51" t="s">
        <v>235</v>
      </c>
      <c r="G51" s="20" t="s">
        <v>254</v>
      </c>
      <c r="I51" s="19">
        <f t="shared" si="2"/>
        <v>66.666666666666657</v>
      </c>
      <c r="K51">
        <f t="shared" si="3"/>
        <v>18</v>
      </c>
    </row>
    <row r="52" spans="1:11" x14ac:dyDescent="0.35">
      <c r="F52" t="s">
        <v>236</v>
      </c>
      <c r="G52" s="20" t="s">
        <v>255</v>
      </c>
      <c r="I52" s="19">
        <f t="shared" si="2"/>
        <v>66.666666666666657</v>
      </c>
      <c r="K52">
        <f t="shared" si="3"/>
        <v>18</v>
      </c>
    </row>
    <row r="53" spans="1:11" x14ac:dyDescent="0.35">
      <c r="F53" t="s">
        <v>220</v>
      </c>
      <c r="G53" s="20" t="s">
        <v>256</v>
      </c>
      <c r="I53" s="19">
        <f t="shared" si="2"/>
        <v>74.074074074074076</v>
      </c>
      <c r="K53">
        <f t="shared" si="3"/>
        <v>20</v>
      </c>
    </row>
    <row r="55" spans="1:11" x14ac:dyDescent="0.35">
      <c r="F55" t="s">
        <v>62</v>
      </c>
      <c r="G55" s="20" t="s">
        <v>267</v>
      </c>
      <c r="I55" s="19">
        <f>K55/27*100</f>
        <v>70.370370370370367</v>
      </c>
      <c r="K55">
        <f>COUNTIF($F$2:$Z$27,F55)</f>
        <v>19</v>
      </c>
    </row>
    <row r="56" spans="1:11" x14ac:dyDescent="0.35">
      <c r="F56" t="s">
        <v>68</v>
      </c>
      <c r="G56" s="20" t="s">
        <v>268</v>
      </c>
      <c r="I56" s="19">
        <f>K56/27*100</f>
        <v>48.148148148148145</v>
      </c>
      <c r="K56">
        <f>COUNTIF($F$2:$Z$27,F56)</f>
        <v>13</v>
      </c>
    </row>
    <row r="58" spans="1:11" x14ac:dyDescent="0.35">
      <c r="A58" t="s">
        <v>113</v>
      </c>
      <c r="B58" t="s">
        <v>0</v>
      </c>
      <c r="C58" t="s">
        <v>1</v>
      </c>
      <c r="D58" t="s">
        <v>262</v>
      </c>
      <c r="G58" t="s">
        <v>262</v>
      </c>
      <c r="H58">
        <f>COUNTIF($D$58:$D$84,G58)</f>
        <v>14</v>
      </c>
      <c r="I58">
        <f>H58/27</f>
        <v>0.51851851851851849</v>
      </c>
    </row>
    <row r="59" spans="1:11" x14ac:dyDescent="0.35">
      <c r="A59" t="s">
        <v>76</v>
      </c>
      <c r="B59" t="s">
        <v>2</v>
      </c>
      <c r="C59" t="s">
        <v>3</v>
      </c>
      <c r="G59" t="s">
        <v>263</v>
      </c>
      <c r="H59">
        <f t="shared" ref="H59:H61" si="4">COUNTIF($D$58:$D$84,G59)</f>
        <v>1</v>
      </c>
      <c r="I59">
        <f t="shared" ref="I59:I62" si="5">H59/27</f>
        <v>3.7037037037037035E-2</v>
      </c>
      <c r="J59" s="21">
        <f>SUM(I58:I59)</f>
        <v>0.55555555555555558</v>
      </c>
    </row>
    <row r="60" spans="1:11" x14ac:dyDescent="0.35">
      <c r="A60" t="s">
        <v>101</v>
      </c>
      <c r="B60" t="s">
        <v>4</v>
      </c>
      <c r="C60" t="s">
        <v>5</v>
      </c>
      <c r="D60" t="s">
        <v>263</v>
      </c>
      <c r="G60" t="s">
        <v>57</v>
      </c>
      <c r="H60">
        <f t="shared" si="4"/>
        <v>5</v>
      </c>
      <c r="I60">
        <f t="shared" si="5"/>
        <v>0.18518518518518517</v>
      </c>
    </row>
    <row r="61" spans="1:11" x14ac:dyDescent="0.35">
      <c r="A61" t="s">
        <v>124</v>
      </c>
      <c r="B61" t="s">
        <v>6</v>
      </c>
      <c r="C61" t="s">
        <v>7</v>
      </c>
      <c r="D61" t="s">
        <v>57</v>
      </c>
      <c r="G61" t="s">
        <v>264</v>
      </c>
      <c r="H61">
        <f t="shared" si="4"/>
        <v>3</v>
      </c>
      <c r="I61">
        <f t="shared" si="5"/>
        <v>0.1111111111111111</v>
      </c>
    </row>
    <row r="62" spans="1:11" x14ac:dyDescent="0.35">
      <c r="A62" t="s">
        <v>103</v>
      </c>
      <c r="B62" t="s">
        <v>4</v>
      </c>
      <c r="C62" t="s">
        <v>8</v>
      </c>
      <c r="D62" t="s">
        <v>262</v>
      </c>
      <c r="G62" t="s">
        <v>265</v>
      </c>
      <c r="H62">
        <v>4</v>
      </c>
      <c r="I62">
        <f t="shared" si="5"/>
        <v>0.14814814814814814</v>
      </c>
    </row>
    <row r="63" spans="1:11" x14ac:dyDescent="0.35">
      <c r="A63" t="s">
        <v>83</v>
      </c>
      <c r="B63" t="s">
        <v>9</v>
      </c>
      <c r="C63" t="s">
        <v>10</v>
      </c>
      <c r="D63" t="s">
        <v>262</v>
      </c>
    </row>
    <row r="64" spans="1:11" x14ac:dyDescent="0.35">
      <c r="A64" t="s">
        <v>118</v>
      </c>
      <c r="B64" t="s">
        <v>11</v>
      </c>
      <c r="C64" t="s">
        <v>12</v>
      </c>
      <c r="D64" t="s">
        <v>57</v>
      </c>
      <c r="H64">
        <f>SUM(H58:H62)</f>
        <v>27</v>
      </c>
      <c r="I64">
        <f>H64/27</f>
        <v>1</v>
      </c>
    </row>
    <row r="65" spans="1:4" x14ac:dyDescent="0.35">
      <c r="A65" t="s">
        <v>120</v>
      </c>
      <c r="B65" t="s">
        <v>11</v>
      </c>
      <c r="C65" t="s">
        <v>13</v>
      </c>
      <c r="D65" t="s">
        <v>57</v>
      </c>
    </row>
    <row r="66" spans="1:4" x14ac:dyDescent="0.35">
      <c r="A66" t="s">
        <v>91</v>
      </c>
      <c r="B66" t="s">
        <v>14</v>
      </c>
      <c r="C66" t="s">
        <v>15</v>
      </c>
      <c r="D66" t="s">
        <v>262</v>
      </c>
    </row>
    <row r="67" spans="1:4" x14ac:dyDescent="0.35">
      <c r="A67" t="s">
        <v>105</v>
      </c>
      <c r="B67" t="s">
        <v>4</v>
      </c>
      <c r="C67" t="s">
        <v>16</v>
      </c>
      <c r="D67" t="s">
        <v>262</v>
      </c>
    </row>
    <row r="68" spans="1:4" x14ac:dyDescent="0.35">
      <c r="A68" t="s">
        <v>93</v>
      </c>
      <c r="B68" t="s">
        <v>14</v>
      </c>
      <c r="C68" t="s">
        <v>17</v>
      </c>
      <c r="D68" t="s">
        <v>262</v>
      </c>
    </row>
    <row r="69" spans="1:4" x14ac:dyDescent="0.35">
      <c r="A69" t="s">
        <v>74</v>
      </c>
      <c r="B69" t="s">
        <v>18</v>
      </c>
      <c r="C69" t="s">
        <v>19</v>
      </c>
      <c r="D69" t="s">
        <v>262</v>
      </c>
    </row>
    <row r="70" spans="1:4" x14ac:dyDescent="0.35">
      <c r="A70" t="s">
        <v>107</v>
      </c>
      <c r="B70" t="s">
        <v>4</v>
      </c>
      <c r="C70" t="s">
        <v>20</v>
      </c>
      <c r="D70" t="s">
        <v>264</v>
      </c>
    </row>
    <row r="71" spans="1:4" x14ac:dyDescent="0.35">
      <c r="A71" t="s">
        <v>126</v>
      </c>
      <c r="B71" t="s">
        <v>6</v>
      </c>
      <c r="C71" t="s">
        <v>21</v>
      </c>
      <c r="D71" t="s">
        <v>264</v>
      </c>
    </row>
    <row r="72" spans="1:4" x14ac:dyDescent="0.35">
      <c r="A72" t="s">
        <v>115</v>
      </c>
      <c r="B72" t="s">
        <v>0</v>
      </c>
      <c r="C72" t="s">
        <v>22</v>
      </c>
      <c r="D72" t="s">
        <v>262</v>
      </c>
    </row>
    <row r="73" spans="1:4" x14ac:dyDescent="0.35">
      <c r="A73" t="s">
        <v>122</v>
      </c>
      <c r="B73" t="s">
        <v>11</v>
      </c>
      <c r="C73" t="s">
        <v>23</v>
      </c>
      <c r="D73" t="s">
        <v>57</v>
      </c>
    </row>
    <row r="74" spans="1:4" x14ac:dyDescent="0.35">
      <c r="A74" t="s">
        <v>95</v>
      </c>
      <c r="B74" t="s">
        <v>14</v>
      </c>
      <c r="C74" t="s">
        <v>24</v>
      </c>
      <c r="D74" t="s">
        <v>262</v>
      </c>
    </row>
    <row r="75" spans="1:4" x14ac:dyDescent="0.35">
      <c r="A75" t="s">
        <v>109</v>
      </c>
      <c r="B75" t="s">
        <v>4</v>
      </c>
      <c r="C75" t="s">
        <v>25</v>
      </c>
      <c r="D75" t="s">
        <v>57</v>
      </c>
    </row>
    <row r="76" spans="1:4" x14ac:dyDescent="0.35">
      <c r="A76" t="s">
        <v>111</v>
      </c>
      <c r="B76" t="s">
        <v>4</v>
      </c>
      <c r="C76" t="s">
        <v>26</v>
      </c>
      <c r="D76" t="s">
        <v>262</v>
      </c>
    </row>
    <row r="77" spans="1:4" x14ac:dyDescent="0.35">
      <c r="A77" t="s">
        <v>85</v>
      </c>
      <c r="B77" t="s">
        <v>9</v>
      </c>
      <c r="C77" t="s">
        <v>27</v>
      </c>
      <c r="D77" t="s">
        <v>262</v>
      </c>
    </row>
    <row r="78" spans="1:4" x14ac:dyDescent="0.35">
      <c r="A78" t="s">
        <v>97</v>
      </c>
      <c r="B78" t="s">
        <v>14</v>
      </c>
      <c r="C78" t="s">
        <v>28</v>
      </c>
      <c r="D78" t="s">
        <v>262</v>
      </c>
    </row>
    <row r="79" spans="1:4" x14ac:dyDescent="0.35">
      <c r="A79" t="s">
        <v>81</v>
      </c>
      <c r="B79" t="s">
        <v>29</v>
      </c>
      <c r="C79" t="s">
        <v>30</v>
      </c>
    </row>
    <row r="80" spans="1:4" x14ac:dyDescent="0.35">
      <c r="A80" t="s">
        <v>99</v>
      </c>
      <c r="B80" t="s">
        <v>14</v>
      </c>
      <c r="C80" t="s">
        <v>31</v>
      </c>
      <c r="D80" t="s">
        <v>262</v>
      </c>
    </row>
    <row r="81" spans="1:4" x14ac:dyDescent="0.35">
      <c r="A81" t="s">
        <v>79</v>
      </c>
      <c r="B81" t="s">
        <v>32</v>
      </c>
      <c r="C81" t="s">
        <v>33</v>
      </c>
    </row>
    <row r="82" spans="1:4" x14ac:dyDescent="0.35">
      <c r="A82" t="s">
        <v>128</v>
      </c>
      <c r="B82" t="s">
        <v>6</v>
      </c>
      <c r="C82" t="s">
        <v>34</v>
      </c>
    </row>
    <row r="83" spans="1:4" x14ac:dyDescent="0.35">
      <c r="A83" t="s">
        <v>88</v>
      </c>
      <c r="B83" t="s">
        <v>35</v>
      </c>
      <c r="C83" t="s">
        <v>36</v>
      </c>
      <c r="D83" t="s">
        <v>264</v>
      </c>
    </row>
    <row r="84" spans="1:4" x14ac:dyDescent="0.35">
      <c r="A84" t="s">
        <v>90</v>
      </c>
      <c r="B84" t="s">
        <v>35</v>
      </c>
      <c r="C84" t="s">
        <v>37</v>
      </c>
      <c r="D84" t="s">
        <v>262</v>
      </c>
    </row>
  </sheetData>
  <phoneticPr fontId="5" type="noConversion"/>
  <conditionalFormatting sqref="I33:I40 I42:I45 I47:I53 I55:I56">
    <cfRule type="dataBar" priority="2">
      <dataBar>
        <cfvo type="min"/>
        <cfvo type="max"/>
        <color rgb="FF63C384"/>
      </dataBar>
      <extLst>
        <ext xmlns:x14="http://schemas.microsoft.com/office/spreadsheetml/2009/9/main" uri="{B025F937-C7B1-47D3-B67F-A62EFF666E3E}">
          <x14:id>{B097893E-4EFE-4F1F-9F0A-0C7CD4118D21}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097893E-4EFE-4F1F-9F0A-0C7CD4118D21}">
            <x14:dataBar minLength="0" maxLength="100" border="1" negativeBarBorderColorSameAsPositive="0">
              <x14:cfvo type="autoMin"/>
              <x14:cfvo type="autoMax"/>
              <x14:borderColor rgb="FF63C384"/>
              <x14:negativeFillColor rgb="FFFF0000"/>
              <x14:negativeBorderColor rgb="FFFF0000"/>
              <x14:axisColor rgb="FF000000"/>
            </x14:dataBar>
          </x14:cfRule>
          <xm:sqref>I33:I40 I42:I45 I47:I53 I55:I56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864B3-5389-4DB3-B3E1-75F80BFF029C}">
  <dimension ref="A2:U109"/>
  <sheetViews>
    <sheetView workbookViewId="0">
      <selection activeCell="L46" sqref="L46"/>
    </sheetView>
  </sheetViews>
  <sheetFormatPr defaultRowHeight="14.5" x14ac:dyDescent="0.35"/>
  <cols>
    <col min="17" max="17" width="23.7265625" bestFit="1" customWidth="1"/>
    <col min="21" max="21" width="14.453125" customWidth="1"/>
  </cols>
  <sheetData>
    <row r="2" spans="1:21" x14ac:dyDescent="0.35">
      <c r="A2" t="s">
        <v>90</v>
      </c>
      <c r="B2" t="s">
        <v>37</v>
      </c>
      <c r="C2" t="s">
        <v>62</v>
      </c>
      <c r="D2" t="s">
        <v>63</v>
      </c>
      <c r="F2">
        <v>2023</v>
      </c>
      <c r="H2" t="s">
        <v>269</v>
      </c>
      <c r="M2" t="s">
        <v>35</v>
      </c>
    </row>
    <row r="3" spans="1:21" x14ac:dyDescent="0.35">
      <c r="A3" t="s">
        <v>90</v>
      </c>
      <c r="B3" t="s">
        <v>37</v>
      </c>
      <c r="C3" t="s">
        <v>62</v>
      </c>
      <c r="D3" t="s">
        <v>66</v>
      </c>
      <c r="F3">
        <v>2023</v>
      </c>
      <c r="H3" t="s">
        <v>269</v>
      </c>
      <c r="M3" t="s">
        <v>35</v>
      </c>
      <c r="R3" t="s">
        <v>292</v>
      </c>
      <c r="S3" t="s">
        <v>293</v>
      </c>
    </row>
    <row r="4" spans="1:21" x14ac:dyDescent="0.35">
      <c r="A4" t="s">
        <v>90</v>
      </c>
      <c r="B4" t="s">
        <v>37</v>
      </c>
      <c r="C4" t="s">
        <v>68</v>
      </c>
      <c r="D4" t="s">
        <v>63</v>
      </c>
      <c r="F4">
        <v>2023</v>
      </c>
      <c r="H4" t="s">
        <v>269</v>
      </c>
      <c r="M4" t="s">
        <v>35</v>
      </c>
      <c r="R4">
        <v>12</v>
      </c>
      <c r="S4">
        <v>1</v>
      </c>
    </row>
    <row r="5" spans="1:21" x14ac:dyDescent="0.35">
      <c r="A5" t="s">
        <v>90</v>
      </c>
      <c r="B5" t="s">
        <v>37</v>
      </c>
      <c r="C5" t="s">
        <v>68</v>
      </c>
      <c r="D5" t="s">
        <v>66</v>
      </c>
      <c r="F5">
        <v>2023</v>
      </c>
      <c r="H5" t="s">
        <v>269</v>
      </c>
      <c r="M5" t="s">
        <v>35</v>
      </c>
      <c r="R5">
        <f>R4/27</f>
        <v>0.44444444444444442</v>
      </c>
    </row>
    <row r="6" spans="1:21" x14ac:dyDescent="0.35">
      <c r="A6" t="s">
        <v>85</v>
      </c>
      <c r="B6" t="s">
        <v>27</v>
      </c>
      <c r="C6" t="s">
        <v>62</v>
      </c>
      <c r="D6" t="s">
        <v>63</v>
      </c>
      <c r="E6">
        <v>2019</v>
      </c>
      <c r="F6">
        <v>2024</v>
      </c>
      <c r="G6">
        <v>2030</v>
      </c>
      <c r="H6" t="s">
        <v>270</v>
      </c>
      <c r="I6" t="s">
        <v>271</v>
      </c>
      <c r="J6" t="s">
        <v>272</v>
      </c>
      <c r="K6" s="22" t="s">
        <v>65</v>
      </c>
      <c r="L6" s="22">
        <v>0.3</v>
      </c>
      <c r="M6" t="s">
        <v>9</v>
      </c>
    </row>
    <row r="7" spans="1:21" x14ac:dyDescent="0.35">
      <c r="A7" t="s">
        <v>85</v>
      </c>
      <c r="B7" t="s">
        <v>27</v>
      </c>
      <c r="C7" t="s">
        <v>62</v>
      </c>
      <c r="D7" t="s">
        <v>66</v>
      </c>
      <c r="F7">
        <v>2024</v>
      </c>
      <c r="H7" t="s">
        <v>269</v>
      </c>
      <c r="M7" t="s">
        <v>9</v>
      </c>
    </row>
    <row r="8" spans="1:21" x14ac:dyDescent="0.35">
      <c r="A8" t="s">
        <v>85</v>
      </c>
      <c r="B8" t="s">
        <v>27</v>
      </c>
      <c r="C8" t="s">
        <v>68</v>
      </c>
      <c r="D8" t="s">
        <v>63</v>
      </c>
      <c r="F8">
        <v>2024</v>
      </c>
      <c r="H8" t="s">
        <v>269</v>
      </c>
      <c r="M8" t="s">
        <v>9</v>
      </c>
      <c r="R8" t="s">
        <v>289</v>
      </c>
      <c r="S8" t="s">
        <v>294</v>
      </c>
      <c r="T8" t="s">
        <v>290</v>
      </c>
      <c r="U8" t="s">
        <v>291</v>
      </c>
    </row>
    <row r="9" spans="1:21" x14ac:dyDescent="0.35">
      <c r="A9" t="s">
        <v>85</v>
      </c>
      <c r="B9" t="s">
        <v>27</v>
      </c>
      <c r="C9" t="s">
        <v>68</v>
      </c>
      <c r="D9" t="s">
        <v>66</v>
      </c>
      <c r="F9">
        <v>2024</v>
      </c>
      <c r="H9" t="s">
        <v>269</v>
      </c>
      <c r="M9" t="s">
        <v>9</v>
      </c>
      <c r="Q9" t="s">
        <v>295</v>
      </c>
      <c r="R9">
        <f>COUNTIFS($H$2:$H$109,"Valid",$D$2:$D$109,"Near-term",$C$2:$C$109,"S1+2")</f>
        <v>10</v>
      </c>
      <c r="S9">
        <f>COUNTIFS($H$2:$H$109,"Valid",$D$2:$D$109,"Long-term",$C$2:$C$109,"S1+2")</f>
        <v>4</v>
      </c>
      <c r="T9">
        <f>COUNTIFS($H$2:$H$109,"Valid",$D$2:$D$109,"Near-term",$C$2:$C$109,"S3")</f>
        <v>1</v>
      </c>
      <c r="U9">
        <f>COUNTIFS($H$2:$H$109,"Valid",$D$2:$D$109,"Long-term",$C$2:$C$109,"S3")</f>
        <v>0</v>
      </c>
    </row>
    <row r="10" spans="1:21" x14ac:dyDescent="0.35">
      <c r="A10" t="s">
        <v>88</v>
      </c>
      <c r="B10" t="s">
        <v>36</v>
      </c>
      <c r="C10" t="s">
        <v>62</v>
      </c>
      <c r="D10" t="s">
        <v>63</v>
      </c>
      <c r="F10">
        <v>2024</v>
      </c>
      <c r="H10" t="s">
        <v>269</v>
      </c>
      <c r="M10" t="s">
        <v>35</v>
      </c>
      <c r="Q10" t="s">
        <v>296</v>
      </c>
      <c r="R10" s="24">
        <f>R9/27</f>
        <v>0.37037037037037035</v>
      </c>
      <c r="S10" s="24">
        <f t="shared" ref="S10:U10" si="0">S9/27</f>
        <v>0.14814814814814814</v>
      </c>
      <c r="T10" s="24">
        <f t="shared" si="0"/>
        <v>3.7037037037037035E-2</v>
      </c>
      <c r="U10" s="24">
        <f t="shared" si="0"/>
        <v>0</v>
      </c>
    </row>
    <row r="11" spans="1:21" x14ac:dyDescent="0.35">
      <c r="A11" t="s">
        <v>88</v>
      </c>
      <c r="B11" t="s">
        <v>36</v>
      </c>
      <c r="C11" t="s">
        <v>62</v>
      </c>
      <c r="D11" t="s">
        <v>66</v>
      </c>
      <c r="F11">
        <v>2024</v>
      </c>
      <c r="H11" t="s">
        <v>269</v>
      </c>
      <c r="M11" t="s">
        <v>35</v>
      </c>
      <c r="Q11" t="s">
        <v>297</v>
      </c>
      <c r="R11" s="22">
        <f>AVERAGE(L6,L14,L22,L26,L30,L46,L50,L58,L62,L90)</f>
        <v>0.20600000000000004</v>
      </c>
    </row>
    <row r="12" spans="1:21" x14ac:dyDescent="0.35">
      <c r="A12" t="s">
        <v>88</v>
      </c>
      <c r="B12" t="s">
        <v>36</v>
      </c>
      <c r="C12" t="s">
        <v>68</v>
      </c>
      <c r="D12" t="s">
        <v>63</v>
      </c>
      <c r="F12">
        <v>2024</v>
      </c>
      <c r="H12" t="s">
        <v>269</v>
      </c>
      <c r="M12" t="s">
        <v>35</v>
      </c>
    </row>
    <row r="13" spans="1:21" x14ac:dyDescent="0.35">
      <c r="A13" t="s">
        <v>88</v>
      </c>
      <c r="B13" t="s">
        <v>36</v>
      </c>
      <c r="C13" t="s">
        <v>68</v>
      </c>
      <c r="D13" t="s">
        <v>66</v>
      </c>
      <c r="F13">
        <v>2024</v>
      </c>
      <c r="H13" t="s">
        <v>269</v>
      </c>
      <c r="M13" t="s">
        <v>35</v>
      </c>
    </row>
    <row r="14" spans="1:21" x14ac:dyDescent="0.35">
      <c r="A14" t="s">
        <v>111</v>
      </c>
      <c r="B14" t="s">
        <v>26</v>
      </c>
      <c r="C14" t="s">
        <v>62</v>
      </c>
      <c r="D14" t="s">
        <v>63</v>
      </c>
      <c r="E14">
        <v>2021</v>
      </c>
      <c r="F14">
        <v>2024</v>
      </c>
      <c r="G14">
        <v>2030</v>
      </c>
      <c r="H14" t="s">
        <v>270</v>
      </c>
      <c r="I14" t="s">
        <v>273</v>
      </c>
      <c r="J14" t="s">
        <v>274</v>
      </c>
      <c r="K14" s="22" t="s">
        <v>65</v>
      </c>
      <c r="L14" s="22">
        <v>0.3</v>
      </c>
      <c r="M14" t="s">
        <v>4</v>
      </c>
    </row>
    <row r="15" spans="1:21" x14ac:dyDescent="0.35">
      <c r="A15" t="s">
        <v>111</v>
      </c>
      <c r="B15" t="s">
        <v>26</v>
      </c>
      <c r="C15" t="s">
        <v>62</v>
      </c>
      <c r="D15" t="s">
        <v>66</v>
      </c>
      <c r="F15">
        <v>2024</v>
      </c>
      <c r="H15" t="s">
        <v>269</v>
      </c>
      <c r="M15" t="s">
        <v>4</v>
      </c>
    </row>
    <row r="16" spans="1:21" x14ac:dyDescent="0.35">
      <c r="A16" t="s">
        <v>111</v>
      </c>
      <c r="B16" t="s">
        <v>26</v>
      </c>
      <c r="C16" t="s">
        <v>68</v>
      </c>
      <c r="D16" t="s">
        <v>63</v>
      </c>
      <c r="F16">
        <v>2024</v>
      </c>
      <c r="H16" t="s">
        <v>269</v>
      </c>
      <c r="M16" t="s">
        <v>4</v>
      </c>
    </row>
    <row r="17" spans="1:21" x14ac:dyDescent="0.35">
      <c r="A17" t="s">
        <v>111</v>
      </c>
      <c r="B17" t="s">
        <v>26</v>
      </c>
      <c r="C17" t="s">
        <v>68</v>
      </c>
      <c r="D17" t="s">
        <v>66</v>
      </c>
      <c r="F17">
        <v>2024</v>
      </c>
      <c r="H17" t="s">
        <v>269</v>
      </c>
      <c r="M17" t="s">
        <v>4</v>
      </c>
      <c r="Q17" t="str" cm="1">
        <f t="array" ref="Q17:Q27">_xlfn.UNIQUE(M2:M109)</f>
        <v>IT Software &amp; Services</v>
      </c>
      <c r="R17">
        <f>COUNTIFS($H$2:$H$109,"Valid",$D$2:$D$109,"Near-term",$C$2:$C$109,"S1+2",$M$2:$M$109,Q17)</f>
        <v>0</v>
      </c>
      <c r="S17">
        <v>2</v>
      </c>
      <c r="T17" s="1">
        <f>R17/S17</f>
        <v>0</v>
      </c>
    </row>
    <row r="18" spans="1:21" x14ac:dyDescent="0.35">
      <c r="A18" t="s">
        <v>109</v>
      </c>
      <c r="B18" t="s">
        <v>25</v>
      </c>
      <c r="C18" t="s">
        <v>62</v>
      </c>
      <c r="D18" t="s">
        <v>63</v>
      </c>
      <c r="F18">
        <v>2024</v>
      </c>
      <c r="H18" t="s">
        <v>269</v>
      </c>
      <c r="M18" t="s">
        <v>4</v>
      </c>
      <c r="Q18" t="str">
        <v>Food Retailers</v>
      </c>
      <c r="R18">
        <f t="shared" ref="R18:R27" si="1">COUNTIFS($H$2:$H$109,"Valid",$D$2:$D$109,"Near-term",$C$2:$C$109,"S1+2",$M$2:$M$109,Q18)</f>
        <v>1</v>
      </c>
      <c r="S18">
        <v>2</v>
      </c>
      <c r="T18" s="1">
        <f t="shared" ref="T18:T27" si="2">R18/S18</f>
        <v>0.5</v>
      </c>
    </row>
    <row r="19" spans="1:21" x14ac:dyDescent="0.35">
      <c r="A19" t="s">
        <v>109</v>
      </c>
      <c r="B19" t="s">
        <v>25</v>
      </c>
      <c r="C19" t="s">
        <v>62</v>
      </c>
      <c r="D19" t="s">
        <v>66</v>
      </c>
      <c r="F19">
        <v>2024</v>
      </c>
      <c r="H19" t="s">
        <v>269</v>
      </c>
      <c r="M19" t="s">
        <v>4</v>
      </c>
      <c r="Q19" t="str">
        <v>Oil &amp; Gas</v>
      </c>
      <c r="R19">
        <f t="shared" si="1"/>
        <v>4</v>
      </c>
      <c r="S19">
        <v>6</v>
      </c>
      <c r="T19" s="1">
        <f t="shared" si="2"/>
        <v>0.66666666666666663</v>
      </c>
    </row>
    <row r="20" spans="1:21" x14ac:dyDescent="0.35">
      <c r="A20" t="s">
        <v>109</v>
      </c>
      <c r="B20" t="s">
        <v>25</v>
      </c>
      <c r="C20" t="s">
        <v>68</v>
      </c>
      <c r="D20" t="s">
        <v>63</v>
      </c>
      <c r="F20">
        <v>2024</v>
      </c>
      <c r="H20" t="s">
        <v>269</v>
      </c>
      <c r="M20" t="s">
        <v>4</v>
      </c>
      <c r="Q20" t="str">
        <v>Metals &amp; Mining</v>
      </c>
      <c r="R20">
        <f t="shared" si="1"/>
        <v>3</v>
      </c>
      <c r="S20">
        <v>5</v>
      </c>
      <c r="T20" s="1">
        <f t="shared" si="2"/>
        <v>0.6</v>
      </c>
      <c r="U20" s="1">
        <f>AVERAGE(T17:T18,T21:T27)</f>
        <v>0.22222222222222221</v>
      </c>
    </row>
    <row r="21" spans="1:21" x14ac:dyDescent="0.35">
      <c r="A21" t="s">
        <v>109</v>
      </c>
      <c r="B21" t="s">
        <v>25</v>
      </c>
      <c r="C21" t="s">
        <v>68</v>
      </c>
      <c r="D21" t="s">
        <v>66</v>
      </c>
      <c r="F21">
        <v>2024</v>
      </c>
      <c r="H21" t="s">
        <v>269</v>
      </c>
      <c r="M21" t="s">
        <v>4</v>
      </c>
      <c r="Q21" t="str">
        <v>Passenger Transport</v>
      </c>
      <c r="R21">
        <f t="shared" si="1"/>
        <v>1</v>
      </c>
      <c r="S21">
        <v>2</v>
      </c>
      <c r="T21" s="1">
        <f t="shared" si="2"/>
        <v>0.5</v>
      </c>
      <c r="U21" s="1"/>
    </row>
    <row r="22" spans="1:21" x14ac:dyDescent="0.35">
      <c r="A22" t="s">
        <v>95</v>
      </c>
      <c r="B22" t="s">
        <v>24</v>
      </c>
      <c r="C22" t="s">
        <v>62</v>
      </c>
      <c r="D22" t="s">
        <v>63</v>
      </c>
      <c r="E22">
        <v>2020</v>
      </c>
      <c r="F22">
        <v>2024</v>
      </c>
      <c r="G22">
        <v>2030</v>
      </c>
      <c r="H22" t="s">
        <v>270</v>
      </c>
      <c r="I22" t="s">
        <v>275</v>
      </c>
      <c r="J22" t="s">
        <v>272</v>
      </c>
      <c r="K22" s="22"/>
      <c r="L22" s="22">
        <v>0.1</v>
      </c>
      <c r="M22" t="s">
        <v>14</v>
      </c>
      <c r="Q22" t="str">
        <v>Food Production</v>
      </c>
      <c r="R22">
        <f t="shared" si="1"/>
        <v>0</v>
      </c>
      <c r="S22">
        <v>1</v>
      </c>
      <c r="T22" s="1">
        <f t="shared" si="2"/>
        <v>0</v>
      </c>
    </row>
    <row r="23" spans="1:21" x14ac:dyDescent="0.35">
      <c r="A23" t="s">
        <v>95</v>
      </c>
      <c r="B23" t="s">
        <v>24</v>
      </c>
      <c r="C23" t="s">
        <v>62</v>
      </c>
      <c r="D23" t="s">
        <v>66</v>
      </c>
      <c r="F23">
        <v>2024</v>
      </c>
      <c r="H23" t="s">
        <v>269</v>
      </c>
      <c r="M23" t="s">
        <v>14</v>
      </c>
      <c r="Q23" t="str">
        <v>Telecommunications</v>
      </c>
      <c r="R23">
        <f t="shared" si="1"/>
        <v>0</v>
      </c>
      <c r="S23">
        <v>3</v>
      </c>
      <c r="T23" s="1">
        <f t="shared" si="2"/>
        <v>0</v>
      </c>
    </row>
    <row r="24" spans="1:21" x14ac:dyDescent="0.35">
      <c r="A24" t="s">
        <v>95</v>
      </c>
      <c r="B24" t="s">
        <v>24</v>
      </c>
      <c r="C24" t="s">
        <v>68</v>
      </c>
      <c r="D24" t="s">
        <v>63</v>
      </c>
      <c r="F24">
        <v>2024</v>
      </c>
      <c r="H24" t="s">
        <v>269</v>
      </c>
      <c r="M24" t="s">
        <v>14</v>
      </c>
      <c r="Q24" t="str">
        <v>Utilities</v>
      </c>
      <c r="R24">
        <f t="shared" si="1"/>
        <v>0</v>
      </c>
      <c r="S24">
        <v>3</v>
      </c>
      <c r="T24" s="1">
        <f t="shared" si="2"/>
        <v>0</v>
      </c>
    </row>
    <row r="25" spans="1:21" x14ac:dyDescent="0.35">
      <c r="A25" t="s">
        <v>95</v>
      </c>
      <c r="B25" t="s">
        <v>24</v>
      </c>
      <c r="C25" t="s">
        <v>68</v>
      </c>
      <c r="D25" t="s">
        <v>66</v>
      </c>
      <c r="F25">
        <v>2024</v>
      </c>
      <c r="H25" t="s">
        <v>269</v>
      </c>
      <c r="M25" t="s">
        <v>14</v>
      </c>
      <c r="Q25" t="str">
        <v>Construction &amp; Engineering</v>
      </c>
      <c r="R25">
        <f t="shared" si="1"/>
        <v>0</v>
      </c>
      <c r="S25">
        <v>1</v>
      </c>
      <c r="T25" s="1">
        <f t="shared" si="2"/>
        <v>0</v>
      </c>
    </row>
    <row r="26" spans="1:21" x14ac:dyDescent="0.35">
      <c r="A26" t="s">
        <v>115</v>
      </c>
      <c r="B26" t="s">
        <v>22</v>
      </c>
      <c r="C26" t="s">
        <v>62</v>
      </c>
      <c r="D26" t="s">
        <v>63</v>
      </c>
      <c r="E26">
        <v>2019</v>
      </c>
      <c r="F26">
        <v>2024</v>
      </c>
      <c r="G26">
        <v>2030</v>
      </c>
      <c r="H26" t="s">
        <v>270</v>
      </c>
      <c r="I26" t="s">
        <v>276</v>
      </c>
      <c r="J26" t="s">
        <v>272</v>
      </c>
      <c r="K26" s="22" t="s">
        <v>65</v>
      </c>
      <c r="L26" s="22">
        <v>0.08</v>
      </c>
      <c r="M26" t="s">
        <v>0</v>
      </c>
      <c r="Q26" t="str">
        <v>Chemicals</v>
      </c>
      <c r="R26">
        <f t="shared" si="1"/>
        <v>1</v>
      </c>
      <c r="S26">
        <v>1</v>
      </c>
      <c r="T26" s="1">
        <f t="shared" si="2"/>
        <v>1</v>
      </c>
    </row>
    <row r="27" spans="1:21" x14ac:dyDescent="0.35">
      <c r="A27" t="s">
        <v>115</v>
      </c>
      <c r="B27" t="s">
        <v>22</v>
      </c>
      <c r="C27" t="s">
        <v>62</v>
      </c>
      <c r="D27" t="s">
        <v>66</v>
      </c>
      <c r="E27">
        <v>2019</v>
      </c>
      <c r="F27">
        <v>2024</v>
      </c>
      <c r="G27">
        <v>2035</v>
      </c>
      <c r="H27" t="s">
        <v>270</v>
      </c>
      <c r="I27" t="s">
        <v>277</v>
      </c>
      <c r="J27" t="s">
        <v>272</v>
      </c>
      <c r="K27" s="22" t="s">
        <v>65</v>
      </c>
      <c r="L27" s="22">
        <v>0.11</v>
      </c>
      <c r="M27" t="s">
        <v>0</v>
      </c>
      <c r="Q27" t="str">
        <v>Conglomerates</v>
      </c>
      <c r="R27">
        <f t="shared" si="1"/>
        <v>0</v>
      </c>
      <c r="S27">
        <v>1</v>
      </c>
      <c r="T27" s="1">
        <f t="shared" si="2"/>
        <v>0</v>
      </c>
    </row>
    <row r="28" spans="1:21" x14ac:dyDescent="0.35">
      <c r="A28" t="s">
        <v>115</v>
      </c>
      <c r="B28" t="s">
        <v>22</v>
      </c>
      <c r="C28" t="s">
        <v>68</v>
      </c>
      <c r="D28" t="s">
        <v>63</v>
      </c>
      <c r="F28">
        <v>2024</v>
      </c>
      <c r="H28" t="s">
        <v>269</v>
      </c>
      <c r="M28" t="s">
        <v>0</v>
      </c>
      <c r="S28">
        <f>SUM(S17:S27)</f>
        <v>27</v>
      </c>
    </row>
    <row r="29" spans="1:21" x14ac:dyDescent="0.35">
      <c r="A29" t="s">
        <v>115</v>
      </c>
      <c r="B29" t="s">
        <v>22</v>
      </c>
      <c r="C29" t="s">
        <v>68</v>
      </c>
      <c r="D29" t="s">
        <v>66</v>
      </c>
      <c r="F29">
        <v>2024</v>
      </c>
      <c r="H29" t="s">
        <v>269</v>
      </c>
      <c r="M29" t="s">
        <v>0</v>
      </c>
    </row>
    <row r="30" spans="1:21" x14ac:dyDescent="0.35">
      <c r="A30" t="s">
        <v>97</v>
      </c>
      <c r="B30" t="s">
        <v>28</v>
      </c>
      <c r="C30" t="s">
        <v>62</v>
      </c>
      <c r="D30" t="s">
        <v>63</v>
      </c>
      <c r="E30">
        <v>2018</v>
      </c>
      <c r="F30">
        <v>2024</v>
      </c>
      <c r="G30">
        <v>2035</v>
      </c>
      <c r="H30" t="s">
        <v>270</v>
      </c>
      <c r="I30" t="s">
        <v>278</v>
      </c>
      <c r="J30" t="s">
        <v>272</v>
      </c>
      <c r="K30" s="22" t="s">
        <v>65</v>
      </c>
      <c r="L30" s="22">
        <v>0.23</v>
      </c>
      <c r="M30" t="s">
        <v>14</v>
      </c>
    </row>
    <row r="31" spans="1:21" x14ac:dyDescent="0.35">
      <c r="A31" t="s">
        <v>97</v>
      </c>
      <c r="B31" t="s">
        <v>28</v>
      </c>
      <c r="C31" t="s">
        <v>62</v>
      </c>
      <c r="D31" t="s">
        <v>66</v>
      </c>
      <c r="E31">
        <v>2018</v>
      </c>
      <c r="F31">
        <v>2024</v>
      </c>
      <c r="G31">
        <v>2050</v>
      </c>
      <c r="H31" t="s">
        <v>270</v>
      </c>
      <c r="I31" t="s">
        <v>279</v>
      </c>
      <c r="J31" t="s">
        <v>272</v>
      </c>
      <c r="K31" s="22" t="s">
        <v>65</v>
      </c>
      <c r="L31" s="22">
        <v>0.99</v>
      </c>
      <c r="M31" t="s">
        <v>14</v>
      </c>
    </row>
    <row r="32" spans="1:21" x14ac:dyDescent="0.35">
      <c r="A32" t="s">
        <v>97</v>
      </c>
      <c r="B32" t="s">
        <v>28</v>
      </c>
      <c r="C32" t="s">
        <v>68</v>
      </c>
      <c r="D32" t="s">
        <v>63</v>
      </c>
      <c r="F32">
        <v>2024</v>
      </c>
      <c r="H32" t="s">
        <v>269</v>
      </c>
      <c r="M32" t="s">
        <v>14</v>
      </c>
    </row>
    <row r="33" spans="1:13" x14ac:dyDescent="0.35">
      <c r="A33" t="s">
        <v>97</v>
      </c>
      <c r="B33" t="s">
        <v>28</v>
      </c>
      <c r="C33" t="s">
        <v>68</v>
      </c>
      <c r="D33" t="s">
        <v>66</v>
      </c>
      <c r="F33">
        <v>2024</v>
      </c>
      <c r="H33" t="s">
        <v>269</v>
      </c>
      <c r="M33" t="s">
        <v>14</v>
      </c>
    </row>
    <row r="34" spans="1:13" x14ac:dyDescent="0.35">
      <c r="A34" t="s">
        <v>81</v>
      </c>
      <c r="B34" t="s">
        <v>30</v>
      </c>
      <c r="C34" t="s">
        <v>62</v>
      </c>
      <c r="D34" t="s">
        <v>63</v>
      </c>
      <c r="F34">
        <v>2024</v>
      </c>
      <c r="H34" t="s">
        <v>269</v>
      </c>
      <c r="M34" t="s">
        <v>29</v>
      </c>
    </row>
    <row r="35" spans="1:13" x14ac:dyDescent="0.35">
      <c r="A35" t="s">
        <v>81</v>
      </c>
      <c r="B35" t="s">
        <v>30</v>
      </c>
      <c r="C35" t="s">
        <v>62</v>
      </c>
      <c r="D35" t="s">
        <v>66</v>
      </c>
      <c r="F35">
        <v>2024</v>
      </c>
      <c r="H35" t="s">
        <v>269</v>
      </c>
      <c r="M35" t="s">
        <v>29</v>
      </c>
    </row>
    <row r="36" spans="1:13" x14ac:dyDescent="0.35">
      <c r="A36" t="s">
        <v>81</v>
      </c>
      <c r="B36" t="s">
        <v>30</v>
      </c>
      <c r="C36" t="s">
        <v>68</v>
      </c>
      <c r="D36" t="s">
        <v>63</v>
      </c>
      <c r="F36">
        <v>2024</v>
      </c>
      <c r="H36" t="s">
        <v>269</v>
      </c>
      <c r="M36" t="s">
        <v>29</v>
      </c>
    </row>
    <row r="37" spans="1:13" x14ac:dyDescent="0.35">
      <c r="A37" t="s">
        <v>81</v>
      </c>
      <c r="B37" t="s">
        <v>30</v>
      </c>
      <c r="C37" t="s">
        <v>68</v>
      </c>
      <c r="D37" t="s">
        <v>66</v>
      </c>
      <c r="F37">
        <v>2024</v>
      </c>
      <c r="H37" t="s">
        <v>269</v>
      </c>
      <c r="M37" t="s">
        <v>29</v>
      </c>
    </row>
    <row r="38" spans="1:13" x14ac:dyDescent="0.35">
      <c r="A38" t="s">
        <v>122</v>
      </c>
      <c r="B38" t="s">
        <v>23</v>
      </c>
      <c r="C38" t="s">
        <v>62</v>
      </c>
      <c r="D38" t="s">
        <v>63</v>
      </c>
      <c r="F38">
        <v>2023</v>
      </c>
      <c r="H38" t="s">
        <v>269</v>
      </c>
      <c r="M38" t="s">
        <v>11</v>
      </c>
    </row>
    <row r="39" spans="1:13" x14ac:dyDescent="0.35">
      <c r="A39" t="s">
        <v>122</v>
      </c>
      <c r="B39" t="s">
        <v>23</v>
      </c>
      <c r="C39" t="s">
        <v>62</v>
      </c>
      <c r="D39" t="s">
        <v>66</v>
      </c>
      <c r="F39">
        <v>2023</v>
      </c>
      <c r="H39" t="s">
        <v>269</v>
      </c>
      <c r="M39" t="s">
        <v>11</v>
      </c>
    </row>
    <row r="40" spans="1:13" x14ac:dyDescent="0.35">
      <c r="A40" t="s">
        <v>122</v>
      </c>
      <c r="B40" t="s">
        <v>23</v>
      </c>
      <c r="C40" t="s">
        <v>68</v>
      </c>
      <c r="D40" t="s">
        <v>63</v>
      </c>
      <c r="F40">
        <v>2023</v>
      </c>
      <c r="H40" t="s">
        <v>269</v>
      </c>
      <c r="M40" t="s">
        <v>11</v>
      </c>
    </row>
    <row r="41" spans="1:13" x14ac:dyDescent="0.35">
      <c r="A41" t="s">
        <v>122</v>
      </c>
      <c r="B41" t="s">
        <v>23</v>
      </c>
      <c r="C41" t="s">
        <v>68</v>
      </c>
      <c r="D41" t="s">
        <v>66</v>
      </c>
      <c r="F41">
        <v>2023</v>
      </c>
      <c r="H41" t="s">
        <v>269</v>
      </c>
      <c r="M41" t="s">
        <v>11</v>
      </c>
    </row>
    <row r="42" spans="1:13" x14ac:dyDescent="0.35">
      <c r="A42" t="s">
        <v>126</v>
      </c>
      <c r="B42" t="s">
        <v>21</v>
      </c>
      <c r="C42" t="s">
        <v>62</v>
      </c>
      <c r="D42" t="s">
        <v>63</v>
      </c>
      <c r="F42">
        <v>2024</v>
      </c>
      <c r="H42" t="s">
        <v>269</v>
      </c>
      <c r="M42" t="s">
        <v>6</v>
      </c>
    </row>
    <row r="43" spans="1:13" x14ac:dyDescent="0.35">
      <c r="A43" t="s">
        <v>126</v>
      </c>
      <c r="B43" t="s">
        <v>21</v>
      </c>
      <c r="C43" t="s">
        <v>62</v>
      </c>
      <c r="D43" t="s">
        <v>66</v>
      </c>
      <c r="F43">
        <v>2024</v>
      </c>
      <c r="H43" t="s">
        <v>269</v>
      </c>
      <c r="M43" t="s">
        <v>6</v>
      </c>
    </row>
    <row r="44" spans="1:13" x14ac:dyDescent="0.35">
      <c r="A44" t="s">
        <v>126</v>
      </c>
      <c r="B44" t="s">
        <v>21</v>
      </c>
      <c r="C44" t="s">
        <v>68</v>
      </c>
      <c r="D44" t="s">
        <v>63</v>
      </c>
      <c r="F44">
        <v>2024</v>
      </c>
      <c r="H44" t="s">
        <v>269</v>
      </c>
      <c r="M44" t="s">
        <v>6</v>
      </c>
    </row>
    <row r="45" spans="1:13" x14ac:dyDescent="0.35">
      <c r="A45" t="s">
        <v>126</v>
      </c>
      <c r="B45" t="s">
        <v>21</v>
      </c>
      <c r="C45" t="s">
        <v>68</v>
      </c>
      <c r="D45" t="s">
        <v>66</v>
      </c>
      <c r="F45">
        <v>2024</v>
      </c>
      <c r="H45" t="s">
        <v>269</v>
      </c>
      <c r="M45" t="s">
        <v>6</v>
      </c>
    </row>
    <row r="46" spans="1:13" ht="409.5" x14ac:dyDescent="0.35">
      <c r="A46" t="s">
        <v>107</v>
      </c>
      <c r="B46" t="s">
        <v>20</v>
      </c>
      <c r="C46" t="s">
        <v>62</v>
      </c>
      <c r="D46" t="s">
        <v>63</v>
      </c>
      <c r="E46">
        <v>2024</v>
      </c>
      <c r="F46">
        <v>2024</v>
      </c>
      <c r="G46">
        <v>2035</v>
      </c>
      <c r="H46" s="23" t="s">
        <v>270</v>
      </c>
      <c r="I46" s="23" t="s">
        <v>280</v>
      </c>
      <c r="J46" t="s">
        <v>274</v>
      </c>
      <c r="K46" s="22" t="s">
        <v>281</v>
      </c>
      <c r="L46" s="22">
        <v>0.25</v>
      </c>
      <c r="M46" t="s">
        <v>4</v>
      </c>
    </row>
    <row r="47" spans="1:13" x14ac:dyDescent="0.35">
      <c r="A47" t="s">
        <v>107</v>
      </c>
      <c r="B47" t="s">
        <v>20</v>
      </c>
      <c r="C47" t="s">
        <v>62</v>
      </c>
      <c r="D47" t="s">
        <v>66</v>
      </c>
      <c r="E47">
        <v>2024</v>
      </c>
      <c r="F47">
        <v>2024</v>
      </c>
      <c r="G47">
        <v>2050</v>
      </c>
      <c r="H47" t="s">
        <v>270</v>
      </c>
      <c r="I47" t="s">
        <v>282</v>
      </c>
      <c r="J47" t="s">
        <v>274</v>
      </c>
      <c r="K47" s="22" t="s">
        <v>65</v>
      </c>
      <c r="L47" s="22">
        <v>1</v>
      </c>
      <c r="M47" t="s">
        <v>4</v>
      </c>
    </row>
    <row r="48" spans="1:13" x14ac:dyDescent="0.35">
      <c r="A48" t="s">
        <v>107</v>
      </c>
      <c r="B48" t="s">
        <v>20</v>
      </c>
      <c r="C48" t="s">
        <v>68</v>
      </c>
      <c r="D48" t="s">
        <v>63</v>
      </c>
      <c r="F48">
        <v>2024</v>
      </c>
      <c r="H48" t="s">
        <v>269</v>
      </c>
      <c r="M48" t="s">
        <v>4</v>
      </c>
    </row>
    <row r="49" spans="1:13" x14ac:dyDescent="0.35">
      <c r="A49" t="s">
        <v>107</v>
      </c>
      <c r="B49" t="s">
        <v>20</v>
      </c>
      <c r="C49" t="s">
        <v>68</v>
      </c>
      <c r="D49" t="s">
        <v>66</v>
      </c>
      <c r="F49">
        <v>2024</v>
      </c>
      <c r="H49" t="s">
        <v>269</v>
      </c>
      <c r="M49" t="s">
        <v>4</v>
      </c>
    </row>
    <row r="50" spans="1:13" x14ac:dyDescent="0.35">
      <c r="A50" t="s">
        <v>99</v>
      </c>
      <c r="B50" t="s">
        <v>31</v>
      </c>
      <c r="C50" t="s">
        <v>62</v>
      </c>
      <c r="D50" t="s">
        <v>63</v>
      </c>
      <c r="E50">
        <v>2020</v>
      </c>
      <c r="F50">
        <v>2024</v>
      </c>
      <c r="G50">
        <v>2032</v>
      </c>
      <c r="H50" t="s">
        <v>270</v>
      </c>
      <c r="I50" t="s">
        <v>283</v>
      </c>
      <c r="J50" t="s">
        <v>272</v>
      </c>
      <c r="K50" s="22" t="s">
        <v>65</v>
      </c>
      <c r="L50" s="22">
        <v>0.4</v>
      </c>
      <c r="M50" t="s">
        <v>14</v>
      </c>
    </row>
    <row r="51" spans="1:13" x14ac:dyDescent="0.35">
      <c r="A51" t="s">
        <v>99</v>
      </c>
      <c r="B51" t="s">
        <v>31</v>
      </c>
      <c r="C51" t="s">
        <v>62</v>
      </c>
      <c r="D51" t="s">
        <v>66</v>
      </c>
      <c r="F51">
        <v>2024</v>
      </c>
      <c r="G51">
        <v>2050</v>
      </c>
      <c r="H51" t="s">
        <v>269</v>
      </c>
      <c r="I51" t="s">
        <v>284</v>
      </c>
      <c r="K51" t="s">
        <v>65</v>
      </c>
      <c r="M51" t="s">
        <v>14</v>
      </c>
    </row>
    <row r="52" spans="1:13" x14ac:dyDescent="0.35">
      <c r="A52" t="s">
        <v>99</v>
      </c>
      <c r="B52" t="s">
        <v>31</v>
      </c>
      <c r="C52" t="s">
        <v>68</v>
      </c>
      <c r="D52" t="s">
        <v>63</v>
      </c>
      <c r="F52">
        <v>2024</v>
      </c>
      <c r="H52" t="s">
        <v>269</v>
      </c>
      <c r="M52" t="s">
        <v>14</v>
      </c>
    </row>
    <row r="53" spans="1:13" x14ac:dyDescent="0.35">
      <c r="A53" t="s">
        <v>99</v>
      </c>
      <c r="B53" t="s">
        <v>31</v>
      </c>
      <c r="C53" t="s">
        <v>68</v>
      </c>
      <c r="D53" t="s">
        <v>66</v>
      </c>
      <c r="F53">
        <v>2024</v>
      </c>
      <c r="H53" t="s">
        <v>269</v>
      </c>
      <c r="M53" t="s">
        <v>14</v>
      </c>
    </row>
    <row r="54" spans="1:13" x14ac:dyDescent="0.35">
      <c r="A54" t="s">
        <v>79</v>
      </c>
      <c r="B54" t="s">
        <v>33</v>
      </c>
      <c r="C54" t="s">
        <v>62</v>
      </c>
      <c r="D54" t="s">
        <v>63</v>
      </c>
      <c r="F54">
        <v>2024</v>
      </c>
      <c r="H54" t="s">
        <v>269</v>
      </c>
      <c r="M54" t="s">
        <v>32</v>
      </c>
    </row>
    <row r="55" spans="1:13" x14ac:dyDescent="0.35">
      <c r="A55" t="s">
        <v>79</v>
      </c>
      <c r="B55" t="s">
        <v>33</v>
      </c>
      <c r="C55" t="s">
        <v>62</v>
      </c>
      <c r="D55" t="s">
        <v>66</v>
      </c>
      <c r="F55">
        <v>2024</v>
      </c>
      <c r="H55" t="s">
        <v>269</v>
      </c>
      <c r="M55" t="s">
        <v>32</v>
      </c>
    </row>
    <row r="56" spans="1:13" x14ac:dyDescent="0.35">
      <c r="A56" t="s">
        <v>79</v>
      </c>
      <c r="B56" t="s">
        <v>33</v>
      </c>
      <c r="C56" t="s">
        <v>68</v>
      </c>
      <c r="D56" t="s">
        <v>63</v>
      </c>
      <c r="F56">
        <v>2024</v>
      </c>
      <c r="H56" t="s">
        <v>269</v>
      </c>
      <c r="M56" t="s">
        <v>32</v>
      </c>
    </row>
    <row r="57" spans="1:13" x14ac:dyDescent="0.35">
      <c r="A57" t="s">
        <v>79</v>
      </c>
      <c r="B57" t="s">
        <v>33</v>
      </c>
      <c r="C57" t="s">
        <v>68</v>
      </c>
      <c r="D57" t="s">
        <v>66</v>
      </c>
      <c r="F57">
        <v>2024</v>
      </c>
      <c r="H57" t="s">
        <v>269</v>
      </c>
      <c r="M57" t="s">
        <v>32</v>
      </c>
    </row>
    <row r="58" spans="1:13" x14ac:dyDescent="0.35">
      <c r="A58" t="s">
        <v>74</v>
      </c>
      <c r="B58" t="s">
        <v>19</v>
      </c>
      <c r="C58" t="s">
        <v>62</v>
      </c>
      <c r="D58" t="s">
        <v>63</v>
      </c>
      <c r="E58">
        <v>2018</v>
      </c>
      <c r="F58">
        <v>2024</v>
      </c>
      <c r="G58">
        <v>2028</v>
      </c>
      <c r="H58" t="s">
        <v>270</v>
      </c>
      <c r="I58" t="s">
        <v>285</v>
      </c>
      <c r="J58" t="s">
        <v>274</v>
      </c>
      <c r="K58" s="22" t="s">
        <v>65</v>
      </c>
      <c r="L58" s="22">
        <v>0.14000000000000001</v>
      </c>
      <c r="M58" t="s">
        <v>18</v>
      </c>
    </row>
    <row r="59" spans="1:13" x14ac:dyDescent="0.35">
      <c r="A59" t="s">
        <v>74</v>
      </c>
      <c r="B59" t="s">
        <v>19</v>
      </c>
      <c r="C59" t="s">
        <v>62</v>
      </c>
      <c r="D59" t="s">
        <v>66</v>
      </c>
      <c r="F59">
        <v>2024</v>
      </c>
      <c r="H59" t="s">
        <v>269</v>
      </c>
      <c r="M59" t="s">
        <v>18</v>
      </c>
    </row>
    <row r="60" spans="1:13" x14ac:dyDescent="0.35">
      <c r="A60" t="s">
        <v>74</v>
      </c>
      <c r="B60" t="s">
        <v>19</v>
      </c>
      <c r="C60" t="s">
        <v>68</v>
      </c>
      <c r="D60" t="s">
        <v>63</v>
      </c>
      <c r="E60">
        <v>2018</v>
      </c>
      <c r="F60">
        <v>2024</v>
      </c>
      <c r="G60">
        <v>2028</v>
      </c>
      <c r="H60" t="s">
        <v>270</v>
      </c>
      <c r="I60" t="s">
        <v>285</v>
      </c>
      <c r="J60" t="s">
        <v>274</v>
      </c>
      <c r="K60" s="22" t="s">
        <v>65</v>
      </c>
      <c r="L60" s="22">
        <v>0.14000000000000001</v>
      </c>
      <c r="M60" t="s">
        <v>18</v>
      </c>
    </row>
    <row r="61" spans="1:13" x14ac:dyDescent="0.35">
      <c r="A61" t="s">
        <v>74</v>
      </c>
      <c r="B61" t="s">
        <v>19</v>
      </c>
      <c r="C61" t="s">
        <v>68</v>
      </c>
      <c r="D61" t="s">
        <v>66</v>
      </c>
      <c r="F61">
        <v>2024</v>
      </c>
      <c r="H61" t="s">
        <v>269</v>
      </c>
      <c r="M61" t="s">
        <v>18</v>
      </c>
    </row>
    <row r="62" spans="1:13" x14ac:dyDescent="0.35">
      <c r="A62" t="s">
        <v>105</v>
      </c>
      <c r="B62" t="s">
        <v>16</v>
      </c>
      <c r="C62" t="s">
        <v>62</v>
      </c>
      <c r="D62" t="s">
        <v>63</v>
      </c>
      <c r="E62">
        <v>2019</v>
      </c>
      <c r="F62">
        <v>2024</v>
      </c>
      <c r="G62">
        <v>2030</v>
      </c>
      <c r="H62" t="s">
        <v>270</v>
      </c>
      <c r="I62" t="s">
        <v>286</v>
      </c>
      <c r="J62" t="s">
        <v>272</v>
      </c>
      <c r="K62" s="22" t="s">
        <v>65</v>
      </c>
      <c r="L62" s="22">
        <v>0.06</v>
      </c>
      <c r="M62" t="s">
        <v>4</v>
      </c>
    </row>
    <row r="63" spans="1:13" x14ac:dyDescent="0.35">
      <c r="A63" t="s">
        <v>105</v>
      </c>
      <c r="B63" t="s">
        <v>16</v>
      </c>
      <c r="C63" t="s">
        <v>62</v>
      </c>
      <c r="D63" t="s">
        <v>66</v>
      </c>
      <c r="F63">
        <v>2024</v>
      </c>
      <c r="H63" t="s">
        <v>269</v>
      </c>
      <c r="M63" t="s">
        <v>4</v>
      </c>
    </row>
    <row r="64" spans="1:13" x14ac:dyDescent="0.35">
      <c r="A64" t="s">
        <v>105</v>
      </c>
      <c r="B64" t="s">
        <v>16</v>
      </c>
      <c r="C64" t="s">
        <v>68</v>
      </c>
      <c r="D64" t="s">
        <v>63</v>
      </c>
      <c r="F64">
        <v>2024</v>
      </c>
      <c r="H64" t="s">
        <v>269</v>
      </c>
      <c r="M64" t="s">
        <v>4</v>
      </c>
    </row>
    <row r="65" spans="1:13" x14ac:dyDescent="0.35">
      <c r="A65" t="s">
        <v>105</v>
      </c>
      <c r="B65" t="s">
        <v>16</v>
      </c>
      <c r="C65" t="s">
        <v>68</v>
      </c>
      <c r="D65" t="s">
        <v>66</v>
      </c>
      <c r="F65">
        <v>2024</v>
      </c>
      <c r="H65" t="s">
        <v>269</v>
      </c>
      <c r="M65" t="s">
        <v>4</v>
      </c>
    </row>
    <row r="66" spans="1:13" x14ac:dyDescent="0.35">
      <c r="A66" t="s">
        <v>91</v>
      </c>
      <c r="B66" t="s">
        <v>15</v>
      </c>
      <c r="C66" t="s">
        <v>62</v>
      </c>
      <c r="D66" t="s">
        <v>63</v>
      </c>
      <c r="F66">
        <v>2024</v>
      </c>
      <c r="H66" t="s">
        <v>269</v>
      </c>
      <c r="M66" t="s">
        <v>14</v>
      </c>
    </row>
    <row r="67" spans="1:13" x14ac:dyDescent="0.35">
      <c r="A67" t="s">
        <v>91</v>
      </c>
      <c r="B67" t="s">
        <v>15</v>
      </c>
      <c r="C67" t="s">
        <v>62</v>
      </c>
      <c r="D67" t="s">
        <v>66</v>
      </c>
      <c r="F67">
        <v>2024</v>
      </c>
      <c r="H67" t="s">
        <v>269</v>
      </c>
      <c r="M67" t="s">
        <v>14</v>
      </c>
    </row>
    <row r="68" spans="1:13" x14ac:dyDescent="0.35">
      <c r="A68" t="s">
        <v>91</v>
      </c>
      <c r="B68" t="s">
        <v>15</v>
      </c>
      <c r="C68" t="s">
        <v>68</v>
      </c>
      <c r="D68" t="s">
        <v>63</v>
      </c>
      <c r="F68">
        <v>2024</v>
      </c>
      <c r="H68" t="s">
        <v>269</v>
      </c>
      <c r="M68" t="s">
        <v>14</v>
      </c>
    </row>
    <row r="69" spans="1:13" x14ac:dyDescent="0.35">
      <c r="A69" t="s">
        <v>91</v>
      </c>
      <c r="B69" t="s">
        <v>15</v>
      </c>
      <c r="C69" t="s">
        <v>68</v>
      </c>
      <c r="D69" t="s">
        <v>66</v>
      </c>
      <c r="F69">
        <v>2024</v>
      </c>
      <c r="H69" t="s">
        <v>269</v>
      </c>
      <c r="M69" t="s">
        <v>14</v>
      </c>
    </row>
    <row r="70" spans="1:13" x14ac:dyDescent="0.35">
      <c r="A70" t="s">
        <v>93</v>
      </c>
      <c r="B70" t="s">
        <v>17</v>
      </c>
      <c r="C70" t="s">
        <v>62</v>
      </c>
      <c r="D70" t="s">
        <v>63</v>
      </c>
      <c r="F70">
        <v>2024</v>
      </c>
      <c r="G70">
        <v>2030</v>
      </c>
      <c r="H70" t="s">
        <v>269</v>
      </c>
      <c r="I70" t="s">
        <v>287</v>
      </c>
      <c r="K70" t="s">
        <v>65</v>
      </c>
      <c r="M70" t="s">
        <v>14</v>
      </c>
    </row>
    <row r="71" spans="1:13" x14ac:dyDescent="0.35">
      <c r="A71" t="s">
        <v>93</v>
      </c>
      <c r="B71" t="s">
        <v>17</v>
      </c>
      <c r="C71" t="s">
        <v>62</v>
      </c>
      <c r="D71" t="s">
        <v>66</v>
      </c>
      <c r="E71">
        <v>2024</v>
      </c>
      <c r="F71">
        <v>2024</v>
      </c>
      <c r="G71">
        <v>2050</v>
      </c>
      <c r="H71" t="s">
        <v>270</v>
      </c>
      <c r="I71" t="s">
        <v>288</v>
      </c>
      <c r="J71" t="s">
        <v>272</v>
      </c>
      <c r="K71" s="22" t="s">
        <v>65</v>
      </c>
      <c r="L71" s="22">
        <v>0.38</v>
      </c>
      <c r="M71" t="s">
        <v>14</v>
      </c>
    </row>
    <row r="72" spans="1:13" x14ac:dyDescent="0.35">
      <c r="A72" t="s">
        <v>93</v>
      </c>
      <c r="B72" t="s">
        <v>17</v>
      </c>
      <c r="C72" t="s">
        <v>68</v>
      </c>
      <c r="D72" t="s">
        <v>63</v>
      </c>
      <c r="F72">
        <v>2024</v>
      </c>
      <c r="H72" t="s">
        <v>269</v>
      </c>
      <c r="M72" t="s">
        <v>14</v>
      </c>
    </row>
    <row r="73" spans="1:13" x14ac:dyDescent="0.35">
      <c r="A73" t="s">
        <v>93</v>
      </c>
      <c r="B73" t="s">
        <v>17</v>
      </c>
      <c r="C73" t="s">
        <v>68</v>
      </c>
      <c r="D73" t="s">
        <v>66</v>
      </c>
      <c r="F73">
        <v>2024</v>
      </c>
      <c r="H73" t="s">
        <v>269</v>
      </c>
      <c r="M73" t="s">
        <v>14</v>
      </c>
    </row>
    <row r="74" spans="1:13" x14ac:dyDescent="0.35">
      <c r="A74" t="s">
        <v>120</v>
      </c>
      <c r="B74" t="s">
        <v>13</v>
      </c>
      <c r="C74" t="s">
        <v>62</v>
      </c>
      <c r="D74" t="s">
        <v>63</v>
      </c>
      <c r="F74">
        <v>2023</v>
      </c>
      <c r="H74" t="s">
        <v>269</v>
      </c>
      <c r="M74" t="s">
        <v>11</v>
      </c>
    </row>
    <row r="75" spans="1:13" x14ac:dyDescent="0.35">
      <c r="A75" t="s">
        <v>120</v>
      </c>
      <c r="B75" t="s">
        <v>13</v>
      </c>
      <c r="C75" t="s">
        <v>62</v>
      </c>
      <c r="D75" t="s">
        <v>66</v>
      </c>
      <c r="F75">
        <v>2023</v>
      </c>
      <c r="H75" t="s">
        <v>269</v>
      </c>
      <c r="M75" t="s">
        <v>11</v>
      </c>
    </row>
    <row r="76" spans="1:13" x14ac:dyDescent="0.35">
      <c r="A76" t="s">
        <v>120</v>
      </c>
      <c r="B76" t="s">
        <v>13</v>
      </c>
      <c r="C76" t="s">
        <v>68</v>
      </c>
      <c r="D76" t="s">
        <v>63</v>
      </c>
      <c r="F76">
        <v>2023</v>
      </c>
      <c r="H76" t="s">
        <v>269</v>
      </c>
      <c r="M76" t="s">
        <v>11</v>
      </c>
    </row>
    <row r="77" spans="1:13" x14ac:dyDescent="0.35">
      <c r="A77" t="s">
        <v>120</v>
      </c>
      <c r="B77" t="s">
        <v>13</v>
      </c>
      <c r="C77" t="s">
        <v>68</v>
      </c>
      <c r="D77" t="s">
        <v>66</v>
      </c>
      <c r="F77">
        <v>2023</v>
      </c>
      <c r="H77" t="s">
        <v>269</v>
      </c>
      <c r="M77" t="s">
        <v>11</v>
      </c>
    </row>
    <row r="78" spans="1:13" x14ac:dyDescent="0.35">
      <c r="A78" t="s">
        <v>128</v>
      </c>
      <c r="B78" t="s">
        <v>34</v>
      </c>
      <c r="C78" t="s">
        <v>62</v>
      </c>
      <c r="D78" t="s">
        <v>63</v>
      </c>
      <c r="F78">
        <v>2024</v>
      </c>
      <c r="H78" t="s">
        <v>269</v>
      </c>
      <c r="M78" t="s">
        <v>6</v>
      </c>
    </row>
    <row r="79" spans="1:13" x14ac:dyDescent="0.35">
      <c r="A79" t="s">
        <v>128</v>
      </c>
      <c r="B79" t="s">
        <v>34</v>
      </c>
      <c r="C79" t="s">
        <v>62</v>
      </c>
      <c r="D79" t="s">
        <v>66</v>
      </c>
      <c r="F79">
        <v>2024</v>
      </c>
      <c r="H79" t="s">
        <v>269</v>
      </c>
      <c r="M79" t="s">
        <v>6</v>
      </c>
    </row>
    <row r="80" spans="1:13" x14ac:dyDescent="0.35">
      <c r="A80" t="s">
        <v>128</v>
      </c>
      <c r="B80" t="s">
        <v>34</v>
      </c>
      <c r="C80" t="s">
        <v>68</v>
      </c>
      <c r="D80" t="s">
        <v>63</v>
      </c>
      <c r="F80">
        <v>2024</v>
      </c>
      <c r="H80" t="s">
        <v>269</v>
      </c>
      <c r="M80" t="s">
        <v>6</v>
      </c>
    </row>
    <row r="81" spans="1:13" x14ac:dyDescent="0.35">
      <c r="A81" t="s">
        <v>128</v>
      </c>
      <c r="B81" t="s">
        <v>34</v>
      </c>
      <c r="C81" t="s">
        <v>68</v>
      </c>
      <c r="D81" t="s">
        <v>66</v>
      </c>
      <c r="F81">
        <v>2024</v>
      </c>
      <c r="H81" t="s">
        <v>269</v>
      </c>
      <c r="M81" t="s">
        <v>6</v>
      </c>
    </row>
    <row r="82" spans="1:13" x14ac:dyDescent="0.35">
      <c r="A82" t="s">
        <v>118</v>
      </c>
      <c r="B82" t="s">
        <v>12</v>
      </c>
      <c r="C82" t="s">
        <v>62</v>
      </c>
      <c r="D82" t="s">
        <v>63</v>
      </c>
      <c r="F82">
        <v>2024</v>
      </c>
      <c r="H82" t="s">
        <v>269</v>
      </c>
      <c r="M82" t="s">
        <v>11</v>
      </c>
    </row>
    <row r="83" spans="1:13" x14ac:dyDescent="0.35">
      <c r="A83" t="s">
        <v>118</v>
      </c>
      <c r="B83" t="s">
        <v>12</v>
      </c>
      <c r="C83" t="s">
        <v>62</v>
      </c>
      <c r="D83" t="s">
        <v>66</v>
      </c>
      <c r="F83">
        <v>2024</v>
      </c>
      <c r="H83" t="s">
        <v>269</v>
      </c>
      <c r="M83" t="s">
        <v>11</v>
      </c>
    </row>
    <row r="84" spans="1:13" x14ac:dyDescent="0.35">
      <c r="A84" t="s">
        <v>118</v>
      </c>
      <c r="B84" t="s">
        <v>12</v>
      </c>
      <c r="C84" t="s">
        <v>68</v>
      </c>
      <c r="D84" t="s">
        <v>63</v>
      </c>
      <c r="F84">
        <v>2024</v>
      </c>
      <c r="H84" t="s">
        <v>269</v>
      </c>
      <c r="M84" t="s">
        <v>11</v>
      </c>
    </row>
    <row r="85" spans="1:13" x14ac:dyDescent="0.35">
      <c r="A85" t="s">
        <v>118</v>
      </c>
      <c r="B85" t="s">
        <v>12</v>
      </c>
      <c r="C85" t="s">
        <v>68</v>
      </c>
      <c r="D85" t="s">
        <v>66</v>
      </c>
      <c r="F85">
        <v>2024</v>
      </c>
      <c r="H85" t="s">
        <v>269</v>
      </c>
      <c r="M85" t="s">
        <v>11</v>
      </c>
    </row>
    <row r="86" spans="1:13" x14ac:dyDescent="0.35">
      <c r="A86" t="s">
        <v>83</v>
      </c>
      <c r="B86" t="s">
        <v>10</v>
      </c>
      <c r="C86" t="s">
        <v>62</v>
      </c>
      <c r="D86" t="s">
        <v>63</v>
      </c>
      <c r="F86">
        <v>2024</v>
      </c>
      <c r="H86" t="s">
        <v>269</v>
      </c>
      <c r="M86" t="s">
        <v>9</v>
      </c>
    </row>
    <row r="87" spans="1:13" x14ac:dyDescent="0.35">
      <c r="A87" t="s">
        <v>83</v>
      </c>
      <c r="B87" t="s">
        <v>10</v>
      </c>
      <c r="C87" t="s">
        <v>62</v>
      </c>
      <c r="D87" t="s">
        <v>66</v>
      </c>
      <c r="F87">
        <v>2024</v>
      </c>
      <c r="H87" t="s">
        <v>269</v>
      </c>
      <c r="M87" t="s">
        <v>9</v>
      </c>
    </row>
    <row r="88" spans="1:13" x14ac:dyDescent="0.35">
      <c r="A88" t="s">
        <v>83</v>
      </c>
      <c r="B88" t="s">
        <v>10</v>
      </c>
      <c r="C88" t="s">
        <v>68</v>
      </c>
      <c r="D88" t="s">
        <v>63</v>
      </c>
      <c r="F88">
        <v>2024</v>
      </c>
      <c r="H88" t="s">
        <v>269</v>
      </c>
      <c r="M88" t="s">
        <v>9</v>
      </c>
    </row>
    <row r="89" spans="1:13" x14ac:dyDescent="0.35">
      <c r="A89" t="s">
        <v>83</v>
      </c>
      <c r="B89" t="s">
        <v>10</v>
      </c>
      <c r="C89" t="s">
        <v>68</v>
      </c>
      <c r="D89" t="s">
        <v>66</v>
      </c>
      <c r="F89">
        <v>2024</v>
      </c>
      <c r="H89" t="s">
        <v>269</v>
      </c>
      <c r="M89" t="s">
        <v>9</v>
      </c>
    </row>
    <row r="90" spans="1:13" x14ac:dyDescent="0.35">
      <c r="A90" t="s">
        <v>103</v>
      </c>
      <c r="B90" t="s">
        <v>8</v>
      </c>
      <c r="C90" t="s">
        <v>62</v>
      </c>
      <c r="D90" t="s">
        <v>63</v>
      </c>
      <c r="E90">
        <v>2017</v>
      </c>
      <c r="F90">
        <v>2024</v>
      </c>
      <c r="G90">
        <v>2030</v>
      </c>
      <c r="H90" t="s">
        <v>270</v>
      </c>
      <c r="I90" t="s">
        <v>64</v>
      </c>
      <c r="J90" t="s">
        <v>274</v>
      </c>
      <c r="K90" s="22" t="s">
        <v>65</v>
      </c>
      <c r="L90" s="22">
        <v>0.2</v>
      </c>
      <c r="M90" t="s">
        <v>4</v>
      </c>
    </row>
    <row r="91" spans="1:13" x14ac:dyDescent="0.35">
      <c r="A91" t="s">
        <v>103</v>
      </c>
      <c r="B91" t="s">
        <v>8</v>
      </c>
      <c r="C91" t="s">
        <v>62</v>
      </c>
      <c r="D91" t="s">
        <v>66</v>
      </c>
      <c r="F91">
        <v>2024</v>
      </c>
      <c r="G91">
        <v>2050</v>
      </c>
      <c r="H91" t="s">
        <v>269</v>
      </c>
      <c r="I91" t="s">
        <v>67</v>
      </c>
      <c r="K91" t="s">
        <v>65</v>
      </c>
      <c r="M91" t="s">
        <v>4</v>
      </c>
    </row>
    <row r="92" spans="1:13" x14ac:dyDescent="0.35">
      <c r="A92" t="s">
        <v>103</v>
      </c>
      <c r="B92" t="s">
        <v>8</v>
      </c>
      <c r="C92" t="s">
        <v>68</v>
      </c>
      <c r="D92" t="s">
        <v>63</v>
      </c>
      <c r="F92">
        <v>2024</v>
      </c>
      <c r="H92" t="s">
        <v>269</v>
      </c>
      <c r="M92" t="s">
        <v>4</v>
      </c>
    </row>
    <row r="93" spans="1:13" x14ac:dyDescent="0.35">
      <c r="A93" t="s">
        <v>103</v>
      </c>
      <c r="B93" t="s">
        <v>8</v>
      </c>
      <c r="C93" t="s">
        <v>68</v>
      </c>
      <c r="D93" t="s">
        <v>66</v>
      </c>
      <c r="F93">
        <v>2024</v>
      </c>
      <c r="H93" t="s">
        <v>269</v>
      </c>
      <c r="M93" t="s">
        <v>4</v>
      </c>
    </row>
    <row r="94" spans="1:13" x14ac:dyDescent="0.35">
      <c r="A94" t="s">
        <v>124</v>
      </c>
      <c r="B94" t="s">
        <v>7</v>
      </c>
      <c r="C94" t="s">
        <v>62</v>
      </c>
      <c r="D94" t="s">
        <v>63</v>
      </c>
      <c r="F94">
        <v>2024</v>
      </c>
      <c r="H94" t="s">
        <v>269</v>
      </c>
      <c r="M94" t="s">
        <v>6</v>
      </c>
    </row>
    <row r="95" spans="1:13" x14ac:dyDescent="0.35">
      <c r="A95" t="s">
        <v>124</v>
      </c>
      <c r="B95" t="s">
        <v>7</v>
      </c>
      <c r="C95" t="s">
        <v>62</v>
      </c>
      <c r="D95" t="s">
        <v>66</v>
      </c>
      <c r="F95">
        <v>2024</v>
      </c>
      <c r="H95" t="s">
        <v>269</v>
      </c>
      <c r="M95" t="s">
        <v>6</v>
      </c>
    </row>
    <row r="96" spans="1:13" x14ac:dyDescent="0.35">
      <c r="A96" t="s">
        <v>124</v>
      </c>
      <c r="B96" t="s">
        <v>7</v>
      </c>
      <c r="C96" t="s">
        <v>68</v>
      </c>
      <c r="D96" t="s">
        <v>63</v>
      </c>
      <c r="F96">
        <v>2024</v>
      </c>
      <c r="H96" t="s">
        <v>269</v>
      </c>
      <c r="M96" t="s">
        <v>6</v>
      </c>
    </row>
    <row r="97" spans="1:13" x14ac:dyDescent="0.35">
      <c r="A97" t="s">
        <v>124</v>
      </c>
      <c r="B97" t="s">
        <v>7</v>
      </c>
      <c r="C97" t="s">
        <v>68</v>
      </c>
      <c r="D97" t="s">
        <v>66</v>
      </c>
      <c r="F97">
        <v>2024</v>
      </c>
      <c r="H97" t="s">
        <v>269</v>
      </c>
      <c r="M97" t="s">
        <v>6</v>
      </c>
    </row>
    <row r="98" spans="1:13" x14ac:dyDescent="0.35">
      <c r="A98" t="s">
        <v>101</v>
      </c>
      <c r="B98" t="s">
        <v>5</v>
      </c>
      <c r="C98" t="s">
        <v>62</v>
      </c>
      <c r="D98" t="s">
        <v>63</v>
      </c>
      <c r="F98">
        <v>2024</v>
      </c>
      <c r="H98" t="s">
        <v>269</v>
      </c>
      <c r="M98" t="s">
        <v>4</v>
      </c>
    </row>
    <row r="99" spans="1:13" x14ac:dyDescent="0.35">
      <c r="A99" t="s">
        <v>101</v>
      </c>
      <c r="B99" t="s">
        <v>5</v>
      </c>
      <c r="C99" t="s">
        <v>62</v>
      </c>
      <c r="D99" t="s">
        <v>66</v>
      </c>
      <c r="F99">
        <v>2024</v>
      </c>
      <c r="H99" t="s">
        <v>269</v>
      </c>
      <c r="M99" t="s">
        <v>4</v>
      </c>
    </row>
    <row r="100" spans="1:13" x14ac:dyDescent="0.35">
      <c r="A100" t="s">
        <v>101</v>
      </c>
      <c r="B100" t="s">
        <v>5</v>
      </c>
      <c r="C100" t="s">
        <v>68</v>
      </c>
      <c r="D100" t="s">
        <v>63</v>
      </c>
      <c r="F100">
        <v>2024</v>
      </c>
      <c r="H100" t="s">
        <v>269</v>
      </c>
      <c r="M100" t="s">
        <v>4</v>
      </c>
    </row>
    <row r="101" spans="1:13" x14ac:dyDescent="0.35">
      <c r="A101" t="s">
        <v>101</v>
      </c>
      <c r="B101" t="s">
        <v>5</v>
      </c>
      <c r="C101" t="s">
        <v>68</v>
      </c>
      <c r="D101" t="s">
        <v>66</v>
      </c>
      <c r="F101">
        <v>2024</v>
      </c>
      <c r="H101" t="s">
        <v>269</v>
      </c>
      <c r="M101" t="s">
        <v>4</v>
      </c>
    </row>
    <row r="102" spans="1:13" x14ac:dyDescent="0.35">
      <c r="A102" t="s">
        <v>76</v>
      </c>
      <c r="B102" t="s">
        <v>3</v>
      </c>
      <c r="C102" t="s">
        <v>62</v>
      </c>
      <c r="D102" t="s">
        <v>63</v>
      </c>
      <c r="F102">
        <v>2024</v>
      </c>
      <c r="H102" t="s">
        <v>269</v>
      </c>
      <c r="M102" t="s">
        <v>2</v>
      </c>
    </row>
    <row r="103" spans="1:13" x14ac:dyDescent="0.35">
      <c r="A103" t="s">
        <v>76</v>
      </c>
      <c r="B103" t="s">
        <v>3</v>
      </c>
      <c r="C103" t="s">
        <v>62</v>
      </c>
      <c r="D103" t="s">
        <v>66</v>
      </c>
      <c r="F103">
        <v>2024</v>
      </c>
      <c r="H103" t="s">
        <v>269</v>
      </c>
      <c r="M103" t="s">
        <v>2</v>
      </c>
    </row>
    <row r="104" spans="1:13" x14ac:dyDescent="0.35">
      <c r="A104" t="s">
        <v>76</v>
      </c>
      <c r="B104" t="s">
        <v>3</v>
      </c>
      <c r="C104" t="s">
        <v>68</v>
      </c>
      <c r="D104" t="s">
        <v>63</v>
      </c>
      <c r="F104">
        <v>2024</v>
      </c>
      <c r="H104" t="s">
        <v>269</v>
      </c>
      <c r="M104" t="s">
        <v>2</v>
      </c>
    </row>
    <row r="105" spans="1:13" x14ac:dyDescent="0.35">
      <c r="A105" t="s">
        <v>76</v>
      </c>
      <c r="B105" t="s">
        <v>3</v>
      </c>
      <c r="C105" t="s">
        <v>68</v>
      </c>
      <c r="D105" t="s">
        <v>66</v>
      </c>
      <c r="F105">
        <v>2024</v>
      </c>
      <c r="H105" t="s">
        <v>269</v>
      </c>
      <c r="M105" t="s">
        <v>2</v>
      </c>
    </row>
    <row r="106" spans="1:13" x14ac:dyDescent="0.35">
      <c r="A106" t="s">
        <v>113</v>
      </c>
      <c r="B106" t="s">
        <v>1</v>
      </c>
      <c r="C106" t="s">
        <v>62</v>
      </c>
      <c r="D106" t="s">
        <v>63</v>
      </c>
      <c r="F106">
        <v>2024</v>
      </c>
      <c r="H106" t="s">
        <v>269</v>
      </c>
      <c r="M106" t="s">
        <v>0</v>
      </c>
    </row>
    <row r="107" spans="1:13" x14ac:dyDescent="0.35">
      <c r="A107" t="s">
        <v>113</v>
      </c>
      <c r="B107" t="s">
        <v>1</v>
      </c>
      <c r="C107" t="s">
        <v>62</v>
      </c>
      <c r="D107" t="s">
        <v>66</v>
      </c>
      <c r="F107">
        <v>2024</v>
      </c>
      <c r="H107" t="s">
        <v>269</v>
      </c>
      <c r="M107" t="s">
        <v>0</v>
      </c>
    </row>
    <row r="108" spans="1:13" x14ac:dyDescent="0.35">
      <c r="A108" t="s">
        <v>113</v>
      </c>
      <c r="B108" t="s">
        <v>1</v>
      </c>
      <c r="C108" t="s">
        <v>68</v>
      </c>
      <c r="D108" t="s">
        <v>63</v>
      </c>
      <c r="F108">
        <v>2024</v>
      </c>
      <c r="H108" t="s">
        <v>269</v>
      </c>
      <c r="M108" t="s">
        <v>0</v>
      </c>
    </row>
    <row r="109" spans="1:13" x14ac:dyDescent="0.35">
      <c r="A109" t="s">
        <v>113</v>
      </c>
      <c r="B109" t="s">
        <v>1</v>
      </c>
      <c r="C109" t="s">
        <v>68</v>
      </c>
      <c r="D109" t="s">
        <v>66</v>
      </c>
      <c r="F109">
        <v>2024</v>
      </c>
      <c r="H109" t="s">
        <v>269</v>
      </c>
      <c r="M109" t="s">
        <v>0</v>
      </c>
    </row>
  </sheetData>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4E40-226E-47F8-96FF-1118D60D3463}">
  <dimension ref="A1:D35"/>
  <sheetViews>
    <sheetView topLeftCell="A9" workbookViewId="0">
      <selection activeCell="B35" sqref="B35"/>
    </sheetView>
  </sheetViews>
  <sheetFormatPr defaultRowHeight="14.5" x14ac:dyDescent="0.35"/>
  <cols>
    <col min="1" max="4" width="27.54296875" customWidth="1"/>
  </cols>
  <sheetData>
    <row r="1" spans="1:4" x14ac:dyDescent="0.35">
      <c r="A1" s="11" t="s">
        <v>39</v>
      </c>
      <c r="B1" s="11" t="s">
        <v>154</v>
      </c>
      <c r="C1" s="11" t="s">
        <v>155</v>
      </c>
      <c r="D1" s="11" t="s">
        <v>156</v>
      </c>
    </row>
    <row r="2" spans="1:4" ht="23" x14ac:dyDescent="0.35">
      <c r="A2" s="13" t="s">
        <v>19</v>
      </c>
      <c r="B2" s="12" t="s">
        <v>157</v>
      </c>
      <c r="C2" s="12" t="s">
        <v>158</v>
      </c>
      <c r="D2" s="14" t="s">
        <v>159</v>
      </c>
    </row>
    <row r="3" spans="1:4" ht="23" x14ac:dyDescent="0.35">
      <c r="A3" s="16" t="s">
        <v>3</v>
      </c>
      <c r="B3" s="15" t="s">
        <v>160</v>
      </c>
      <c r="C3" s="15" t="s">
        <v>161</v>
      </c>
      <c r="D3" s="17" t="s">
        <v>162</v>
      </c>
    </row>
    <row r="4" spans="1:4" x14ac:dyDescent="0.35">
      <c r="A4" s="13" t="s">
        <v>33</v>
      </c>
      <c r="B4" s="12" t="s">
        <v>160</v>
      </c>
      <c r="C4" s="12" t="s">
        <v>163</v>
      </c>
      <c r="D4" s="14" t="s">
        <v>164</v>
      </c>
    </row>
    <row r="5" spans="1:4" ht="23" x14ac:dyDescent="0.35">
      <c r="A5" s="16" t="s">
        <v>30</v>
      </c>
      <c r="B5" s="15" t="s">
        <v>165</v>
      </c>
      <c r="C5" s="15" t="s">
        <v>158</v>
      </c>
      <c r="D5" s="17" t="s">
        <v>166</v>
      </c>
    </row>
    <row r="6" spans="1:4" ht="23" x14ac:dyDescent="0.35">
      <c r="A6" s="13" t="s">
        <v>10</v>
      </c>
      <c r="B6" s="12" t="s">
        <v>167</v>
      </c>
      <c r="C6" s="12" t="s">
        <v>161</v>
      </c>
      <c r="D6" s="14" t="s">
        <v>168</v>
      </c>
    </row>
    <row r="7" spans="1:4" x14ac:dyDescent="0.35">
      <c r="A7" s="16" t="s">
        <v>27</v>
      </c>
      <c r="B7" s="15" t="s">
        <v>169</v>
      </c>
      <c r="C7" s="15" t="s">
        <v>158</v>
      </c>
      <c r="D7" s="17" t="s">
        <v>170</v>
      </c>
    </row>
    <row r="8" spans="1:4" ht="23" x14ac:dyDescent="0.35">
      <c r="A8" s="13" t="s">
        <v>37</v>
      </c>
      <c r="B8" s="12" t="s">
        <v>171</v>
      </c>
      <c r="C8" s="12" t="s">
        <v>158</v>
      </c>
      <c r="D8" s="14" t="s">
        <v>172</v>
      </c>
    </row>
    <row r="9" spans="1:4" ht="23" x14ac:dyDescent="0.35">
      <c r="A9" s="16" t="s">
        <v>36</v>
      </c>
      <c r="B9" s="15" t="s">
        <v>173</v>
      </c>
      <c r="C9" s="15" t="s">
        <v>158</v>
      </c>
      <c r="D9" s="17" t="s">
        <v>174</v>
      </c>
    </row>
    <row r="10" spans="1:4" ht="23" x14ac:dyDescent="0.35">
      <c r="A10" s="13" t="s">
        <v>15</v>
      </c>
      <c r="B10" s="12" t="s">
        <v>175</v>
      </c>
      <c r="C10" s="12" t="s">
        <v>158</v>
      </c>
      <c r="D10" s="14" t="s">
        <v>176</v>
      </c>
    </row>
    <row r="11" spans="1:4" ht="23" x14ac:dyDescent="0.35">
      <c r="A11" s="16" t="s">
        <v>17</v>
      </c>
      <c r="B11" s="15" t="s">
        <v>177</v>
      </c>
      <c r="C11" s="15" t="s">
        <v>178</v>
      </c>
      <c r="D11" s="17" t="s">
        <v>179</v>
      </c>
    </row>
    <row r="12" spans="1:4" x14ac:dyDescent="0.35">
      <c r="A12" s="13" t="s">
        <v>24</v>
      </c>
      <c r="B12" s="12" t="s">
        <v>180</v>
      </c>
      <c r="C12" s="12" t="s">
        <v>178</v>
      </c>
      <c r="D12" s="14" t="s">
        <v>181</v>
      </c>
    </row>
    <row r="13" spans="1:4" x14ac:dyDescent="0.35">
      <c r="A13" s="16" t="s">
        <v>28</v>
      </c>
      <c r="B13" s="15" t="s">
        <v>182</v>
      </c>
      <c r="C13" s="15" t="s">
        <v>158</v>
      </c>
      <c r="D13" s="17" t="s">
        <v>183</v>
      </c>
    </row>
    <row r="14" spans="1:4" x14ac:dyDescent="0.35">
      <c r="A14" s="13" t="s">
        <v>31</v>
      </c>
      <c r="B14" s="12" t="s">
        <v>184</v>
      </c>
      <c r="C14" s="12" t="s">
        <v>158</v>
      </c>
      <c r="D14" s="14" t="s">
        <v>185</v>
      </c>
    </row>
    <row r="15" spans="1:4" ht="23" x14ac:dyDescent="0.35">
      <c r="A15" s="16" t="s">
        <v>5</v>
      </c>
      <c r="B15" s="15" t="s">
        <v>186</v>
      </c>
      <c r="C15" s="15" t="s">
        <v>187</v>
      </c>
      <c r="D15" s="17" t="s">
        <v>188</v>
      </c>
    </row>
    <row r="16" spans="1:4" x14ac:dyDescent="0.35">
      <c r="A16" s="13" t="s">
        <v>8</v>
      </c>
      <c r="B16" s="12" t="s">
        <v>189</v>
      </c>
      <c r="C16" s="12" t="s">
        <v>158</v>
      </c>
      <c r="D16" s="14" t="s">
        <v>181</v>
      </c>
    </row>
    <row r="17" spans="1:4" ht="23" x14ac:dyDescent="0.35">
      <c r="A17" s="16" t="s">
        <v>16</v>
      </c>
      <c r="B17" s="15" t="s">
        <v>190</v>
      </c>
      <c r="C17" s="15" t="s">
        <v>191</v>
      </c>
      <c r="D17" s="17" t="s">
        <v>192</v>
      </c>
    </row>
    <row r="18" spans="1:4" x14ac:dyDescent="0.35">
      <c r="A18" s="13" t="s">
        <v>20</v>
      </c>
      <c r="B18" s="12" t="s">
        <v>193</v>
      </c>
      <c r="C18" s="12" t="s">
        <v>158</v>
      </c>
      <c r="D18" s="14" t="s">
        <v>194</v>
      </c>
    </row>
    <row r="19" spans="1:4" x14ac:dyDescent="0.35">
      <c r="A19" s="16" t="s">
        <v>25</v>
      </c>
      <c r="B19" s="15" t="s">
        <v>195</v>
      </c>
      <c r="C19" s="15" t="s">
        <v>187</v>
      </c>
      <c r="D19" s="17" t="s">
        <v>181</v>
      </c>
    </row>
    <row r="20" spans="1:4" x14ac:dyDescent="0.35">
      <c r="A20" s="13" t="s">
        <v>26</v>
      </c>
      <c r="B20" s="12" t="s">
        <v>196</v>
      </c>
      <c r="C20" s="12" t="s">
        <v>163</v>
      </c>
      <c r="D20" s="14" t="s">
        <v>181</v>
      </c>
    </row>
    <row r="21" spans="1:4" ht="23" x14ac:dyDescent="0.35">
      <c r="A21" s="16" t="s">
        <v>1</v>
      </c>
      <c r="B21" s="15" t="s">
        <v>197</v>
      </c>
      <c r="C21" s="15" t="s">
        <v>158</v>
      </c>
      <c r="D21" s="17" t="s">
        <v>198</v>
      </c>
    </row>
    <row r="22" spans="1:4" x14ac:dyDescent="0.35">
      <c r="A22" s="13" t="s">
        <v>22</v>
      </c>
      <c r="B22" s="12" t="s">
        <v>199</v>
      </c>
      <c r="C22" s="12" t="s">
        <v>161</v>
      </c>
      <c r="D22" s="14" t="s">
        <v>200</v>
      </c>
    </row>
    <row r="23" spans="1:4" ht="23" x14ac:dyDescent="0.35">
      <c r="A23" s="16" t="s">
        <v>12</v>
      </c>
      <c r="B23" s="15" t="s">
        <v>201</v>
      </c>
      <c r="C23" s="15" t="s">
        <v>158</v>
      </c>
      <c r="D23" s="17" t="s">
        <v>202</v>
      </c>
    </row>
    <row r="24" spans="1:4" x14ac:dyDescent="0.35">
      <c r="A24" s="13" t="s">
        <v>13</v>
      </c>
      <c r="B24" s="12" t="s">
        <v>203</v>
      </c>
      <c r="C24" s="12" t="s">
        <v>158</v>
      </c>
      <c r="D24" s="14" t="s">
        <v>204</v>
      </c>
    </row>
    <row r="25" spans="1:4" ht="23" x14ac:dyDescent="0.35">
      <c r="A25" s="16" t="s">
        <v>23</v>
      </c>
      <c r="B25" s="15" t="s">
        <v>205</v>
      </c>
      <c r="C25" s="15" t="s">
        <v>158</v>
      </c>
      <c r="D25" s="17" t="s">
        <v>206</v>
      </c>
    </row>
    <row r="26" spans="1:4" x14ac:dyDescent="0.35">
      <c r="A26" s="13" t="s">
        <v>7</v>
      </c>
      <c r="B26" s="12" t="s">
        <v>207</v>
      </c>
      <c r="C26" s="12" t="s">
        <v>158</v>
      </c>
      <c r="D26" s="14" t="s">
        <v>208</v>
      </c>
    </row>
    <row r="27" spans="1:4" x14ac:dyDescent="0.35">
      <c r="A27" s="16" t="s">
        <v>21</v>
      </c>
      <c r="B27" s="15" t="s">
        <v>209</v>
      </c>
      <c r="C27" s="15" t="s">
        <v>158</v>
      </c>
      <c r="D27" s="17" t="s">
        <v>210</v>
      </c>
    </row>
    <row r="28" spans="1:4" ht="23" x14ac:dyDescent="0.35">
      <c r="A28" s="13" t="s">
        <v>34</v>
      </c>
      <c r="B28" s="12" t="s">
        <v>211</v>
      </c>
      <c r="C28" s="12" t="s">
        <v>158</v>
      </c>
      <c r="D28" s="14" t="s">
        <v>212</v>
      </c>
    </row>
    <row r="29" spans="1:4" x14ac:dyDescent="0.35">
      <c r="B29" s="18">
        <f>COUNTA(B2:B28)</f>
        <v>27</v>
      </c>
      <c r="C29" s="40" t="s">
        <v>213</v>
      </c>
      <c r="D29" s="41"/>
    </row>
    <row r="31" spans="1:4" x14ac:dyDescent="0.35">
      <c r="B31" t="s">
        <v>214</v>
      </c>
    </row>
    <row r="32" spans="1:4" x14ac:dyDescent="0.35">
      <c r="B32">
        <v>3500000</v>
      </c>
      <c r="C32" t="s">
        <v>215</v>
      </c>
    </row>
    <row r="33" spans="2:2" x14ac:dyDescent="0.35">
      <c r="B33" t="s">
        <v>216</v>
      </c>
    </row>
    <row r="34" spans="2:2" x14ac:dyDescent="0.35">
      <c r="B34">
        <v>94000000</v>
      </c>
    </row>
    <row r="35" spans="2:2" x14ac:dyDescent="0.35">
      <c r="B35" s="8" t="s">
        <v>217</v>
      </c>
    </row>
  </sheetData>
  <mergeCells count="1">
    <mergeCell ref="C29:D29"/>
  </mergeCells>
  <hyperlinks>
    <hyperlink ref="B35" r:id="rId1" display="https://www.worldeconomics.com/Population-Of-Working-Age-Size/Russia.aspx" xr:uid="{0EC0934E-24D1-465A-8321-872E84E420B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106F-1EA2-46D8-A902-DCE7FDB54DCC}">
  <dimension ref="A1:N80"/>
  <sheetViews>
    <sheetView topLeftCell="A70" workbookViewId="0">
      <selection sqref="A1:XFD81"/>
    </sheetView>
  </sheetViews>
  <sheetFormatPr defaultRowHeight="14.5" x14ac:dyDescent="0.35"/>
  <cols>
    <col min="1" max="2" width="13.90625" style="4" customWidth="1"/>
    <col min="3" max="3" width="9.453125" style="4" customWidth="1"/>
    <col min="4" max="7" width="13.90625" style="4" customWidth="1"/>
    <col min="8" max="8" width="10.54296875" customWidth="1"/>
    <col min="9" max="13" width="13.90625" customWidth="1"/>
  </cols>
  <sheetData>
    <row r="1" spans="1:13" x14ac:dyDescent="0.35">
      <c r="A1" s="34" t="s">
        <v>365</v>
      </c>
      <c r="B1" s="34"/>
      <c r="C1" s="34"/>
      <c r="D1" s="34"/>
      <c r="E1" s="34"/>
      <c r="F1" s="34"/>
      <c r="G1" s="34"/>
      <c r="H1" s="35"/>
      <c r="I1" s="35"/>
      <c r="J1" s="35"/>
      <c r="K1" s="35"/>
      <c r="L1" s="35"/>
      <c r="M1" s="35"/>
    </row>
    <row r="2" spans="1:13" x14ac:dyDescent="0.35">
      <c r="A2" s="39" t="s">
        <v>366</v>
      </c>
      <c r="B2" s="29" t="s">
        <v>367</v>
      </c>
      <c r="D2" s="29" t="s">
        <v>372</v>
      </c>
      <c r="E2" s="29" t="s">
        <v>320</v>
      </c>
    </row>
    <row r="3" spans="1:13" x14ac:dyDescent="0.35">
      <c r="A3" s="8" t="s">
        <v>368</v>
      </c>
      <c r="B3" s="8" t="s">
        <v>369</v>
      </c>
      <c r="D3" s="4" t="s">
        <v>371</v>
      </c>
      <c r="E3" s="8" t="s">
        <v>370</v>
      </c>
    </row>
    <row r="6" spans="1:13" x14ac:dyDescent="0.35">
      <c r="A6" s="34" t="s">
        <v>353</v>
      </c>
      <c r="B6" s="34"/>
      <c r="C6" s="34"/>
      <c r="D6" s="34"/>
      <c r="E6" s="34"/>
      <c r="F6" s="34"/>
      <c r="G6" s="34"/>
      <c r="H6" s="35"/>
      <c r="I6" s="35"/>
      <c r="J6" s="35"/>
      <c r="K6" s="35"/>
      <c r="L6" s="35"/>
      <c r="M6" s="35"/>
    </row>
    <row r="7" spans="1:13" x14ac:dyDescent="0.35">
      <c r="A7" s="29" t="s">
        <v>259</v>
      </c>
      <c r="B7" s="29" t="s">
        <v>355</v>
      </c>
      <c r="C7" s="29" t="s">
        <v>71</v>
      </c>
      <c r="D7" s="29" t="s">
        <v>360</v>
      </c>
      <c r="E7" s="29" t="s">
        <v>362</v>
      </c>
      <c r="G7" s="31" t="s">
        <v>357</v>
      </c>
      <c r="H7" s="31" t="s">
        <v>359</v>
      </c>
    </row>
    <row r="8" spans="1:13" x14ac:dyDescent="0.35">
      <c r="A8" s="4" t="s">
        <v>239</v>
      </c>
      <c r="B8" s="20">
        <v>35584000</v>
      </c>
      <c r="C8" s="4">
        <v>2024</v>
      </c>
      <c r="D8" s="4" t="s">
        <v>361</v>
      </c>
      <c r="E8" s="4" t="s">
        <v>363</v>
      </c>
      <c r="G8" s="27">
        <f>B10/B14</f>
        <v>0.11006275231524792</v>
      </c>
      <c r="H8" s="27">
        <f>B13/B14</f>
        <v>0.88993724768475213</v>
      </c>
    </row>
    <row r="9" spans="1:13" x14ac:dyDescent="0.35">
      <c r="A9" s="4" t="s">
        <v>354</v>
      </c>
      <c r="B9" s="20">
        <v>4260000</v>
      </c>
      <c r="C9" s="4">
        <v>2024</v>
      </c>
      <c r="D9" s="4" t="s">
        <v>361</v>
      </c>
      <c r="E9" s="4" t="s">
        <v>363</v>
      </c>
    </row>
    <row r="10" spans="1:13" x14ac:dyDescent="0.35">
      <c r="A10" s="4" t="s">
        <v>267</v>
      </c>
      <c r="B10" s="20">
        <f>SUM(B8:B9)</f>
        <v>39844000</v>
      </c>
      <c r="C10" s="4">
        <v>2024</v>
      </c>
      <c r="D10" s="4" t="s">
        <v>361</v>
      </c>
    </row>
    <row r="11" spans="1:13" x14ac:dyDescent="0.35">
      <c r="A11" t="s">
        <v>356</v>
      </c>
      <c r="B11">
        <v>3834906</v>
      </c>
      <c r="C11" s="4">
        <v>2024</v>
      </c>
      <c r="D11" s="4" t="s">
        <v>361</v>
      </c>
    </row>
    <row r="12" spans="1:13" x14ac:dyDescent="0.35">
      <c r="A12" s="4" t="s">
        <v>252</v>
      </c>
      <c r="B12">
        <v>318332757</v>
      </c>
      <c r="C12" s="4">
        <v>2024</v>
      </c>
      <c r="D12" s="4" t="s">
        <v>361</v>
      </c>
      <c r="E12" s="4" t="s">
        <v>363</v>
      </c>
    </row>
    <row r="13" spans="1:13" x14ac:dyDescent="0.35">
      <c r="A13" s="4" t="s">
        <v>268</v>
      </c>
      <c r="B13" s="20">
        <f>SUM(B11:B12)</f>
        <v>322167663</v>
      </c>
      <c r="C13" s="4">
        <v>2024</v>
      </c>
      <c r="D13" s="4" t="s">
        <v>361</v>
      </c>
      <c r="E13" s="4" t="s">
        <v>363</v>
      </c>
    </row>
    <row r="14" spans="1:13" x14ac:dyDescent="0.35">
      <c r="A14" s="4" t="s">
        <v>358</v>
      </c>
      <c r="B14">
        <f>SUM(B10,B13)</f>
        <v>362011663</v>
      </c>
      <c r="C14" s="4">
        <v>2024</v>
      </c>
      <c r="D14" s="4" t="s">
        <v>361</v>
      </c>
      <c r="E14"/>
      <c r="F14"/>
      <c r="G14"/>
    </row>
    <row r="16" spans="1:13" x14ac:dyDescent="0.35">
      <c r="A16" s="36" t="s">
        <v>328</v>
      </c>
      <c r="B16" s="34"/>
      <c r="C16" s="34"/>
      <c r="D16" s="34"/>
      <c r="E16" s="34"/>
      <c r="F16" s="34"/>
      <c r="G16" s="34"/>
      <c r="H16" s="35"/>
      <c r="I16" s="35"/>
      <c r="J16" s="35"/>
      <c r="K16" s="35"/>
      <c r="L16" s="35"/>
      <c r="M16" s="35"/>
    </row>
    <row r="17" spans="1:14" x14ac:dyDescent="0.35">
      <c r="A17" s="30" t="s">
        <v>39</v>
      </c>
      <c r="B17" s="30" t="s">
        <v>301</v>
      </c>
      <c r="C17" s="30" t="s">
        <v>302</v>
      </c>
      <c r="D17" s="30" t="s">
        <v>303</v>
      </c>
      <c r="E17" s="30" t="s">
        <v>304</v>
      </c>
      <c r="F17" s="30" t="s">
        <v>305</v>
      </c>
      <c r="G17" s="30" t="s">
        <v>306</v>
      </c>
      <c r="H17" s="30" t="s">
        <v>307</v>
      </c>
      <c r="I17" s="30" t="s">
        <v>70</v>
      </c>
      <c r="J17" s="30" t="s">
        <v>308</v>
      </c>
      <c r="K17" s="30" t="s">
        <v>309</v>
      </c>
      <c r="L17" s="30" t="s">
        <v>310</v>
      </c>
      <c r="M17" s="30" t="s">
        <v>69</v>
      </c>
    </row>
    <row r="18" spans="1:14" x14ac:dyDescent="0.35">
      <c r="A18" s="4" t="s">
        <v>8</v>
      </c>
      <c r="B18" s="4" t="s">
        <v>62</v>
      </c>
      <c r="C18" s="27">
        <v>2017</v>
      </c>
      <c r="D18" s="27">
        <v>2030</v>
      </c>
      <c r="E18" s="27">
        <v>0.2</v>
      </c>
      <c r="F18" s="27">
        <v>48397000</v>
      </c>
      <c r="G18" s="27">
        <v>38717600</v>
      </c>
      <c r="H18" t="s">
        <v>274</v>
      </c>
      <c r="I18" t="s">
        <v>65</v>
      </c>
      <c r="J18" t="s">
        <v>270</v>
      </c>
      <c r="K18" t="s">
        <v>300</v>
      </c>
      <c r="M18" t="s">
        <v>64</v>
      </c>
    </row>
    <row r="19" spans="1:14" x14ac:dyDescent="0.35">
      <c r="A19" s="4" t="s">
        <v>8</v>
      </c>
      <c r="B19" s="4" t="s">
        <v>62</v>
      </c>
      <c r="C19" s="27"/>
      <c r="D19" s="27">
        <v>2050</v>
      </c>
      <c r="E19" s="27"/>
      <c r="F19" s="27"/>
      <c r="G19" s="27"/>
      <c r="I19" t="s">
        <v>65</v>
      </c>
      <c r="J19" t="s">
        <v>269</v>
      </c>
      <c r="K19" t="s">
        <v>300</v>
      </c>
      <c r="M19" t="s">
        <v>67</v>
      </c>
    </row>
    <row r="20" spans="1:14" x14ac:dyDescent="0.35">
      <c r="A20" s="4" t="s">
        <v>8</v>
      </c>
      <c r="B20" s="4" t="s">
        <v>68</v>
      </c>
      <c r="C20" s="27"/>
      <c r="D20" s="27"/>
      <c r="E20" s="27"/>
      <c r="F20" s="27"/>
      <c r="G20" s="27"/>
      <c r="J20" t="s">
        <v>269</v>
      </c>
      <c r="K20" t="s">
        <v>300</v>
      </c>
    </row>
    <row r="21" spans="1:14" x14ac:dyDescent="0.35">
      <c r="A21" s="4" t="s">
        <v>8</v>
      </c>
      <c r="B21" s="4" t="s">
        <v>68</v>
      </c>
      <c r="C21" s="27"/>
      <c r="D21" s="27"/>
      <c r="E21" s="27"/>
      <c r="F21" s="27"/>
      <c r="G21" s="27"/>
      <c r="J21" t="s">
        <v>269</v>
      </c>
      <c r="K21" t="s">
        <v>300</v>
      </c>
    </row>
    <row r="22" spans="1:14" x14ac:dyDescent="0.35">
      <c r="C22" s="27"/>
      <c r="D22" s="27"/>
      <c r="E22" s="27"/>
      <c r="F22" s="27"/>
      <c r="G22" s="27"/>
    </row>
    <row r="23" spans="1:14" x14ac:dyDescent="0.35">
      <c r="C23" s="27"/>
      <c r="D23" s="27"/>
      <c r="E23" s="27"/>
      <c r="F23" s="27"/>
      <c r="G23" s="27"/>
    </row>
    <row r="24" spans="1:14" x14ac:dyDescent="0.35">
      <c r="A24" s="36" t="s">
        <v>329</v>
      </c>
      <c r="B24" s="34"/>
      <c r="C24" s="34"/>
      <c r="D24" s="34"/>
      <c r="E24" s="34"/>
      <c r="F24" s="34"/>
      <c r="G24" s="34"/>
      <c r="H24" s="35"/>
      <c r="I24" s="35"/>
      <c r="J24" s="35"/>
      <c r="K24" s="35"/>
      <c r="L24" s="35"/>
      <c r="M24" s="35"/>
      <c r="N24" s="35"/>
    </row>
    <row r="25" spans="1:14" x14ac:dyDescent="0.35">
      <c r="B25" s="31" t="s">
        <v>322</v>
      </c>
      <c r="C25" s="31"/>
      <c r="D25" s="32" t="s">
        <v>323</v>
      </c>
      <c r="E25" s="31"/>
      <c r="F25" s="31"/>
      <c r="G25" s="26"/>
      <c r="I25" s="32" t="s">
        <v>326</v>
      </c>
      <c r="J25" s="32" t="s">
        <v>327</v>
      </c>
    </row>
    <row r="26" spans="1:14" x14ac:dyDescent="0.35">
      <c r="B26" s="7">
        <f>SLOPE(B28:B33,A28:A33)/B28</f>
        <v>-1.6218430155684464E-2</v>
      </c>
      <c r="C26" s="7"/>
      <c r="D26" s="7">
        <f>SLOPE(D34:D39,A34:A39)/D34</f>
        <v>-9.6761348553225379E-2</v>
      </c>
      <c r="E26" s="7">
        <f>SLOPE(E28:E33,A28:A33)/E28</f>
        <v>-8.2142234181579159E-3</v>
      </c>
      <c r="F26" s="7">
        <f>SLOPE(F34:F39,A34:A39)/F33</f>
        <v>-3.3096375713786277E-2</v>
      </c>
      <c r="I26">
        <f>SUM(I28:I33)</f>
        <v>3909463.2599999979</v>
      </c>
      <c r="J26">
        <f>SUM(J28:J33)</f>
        <v>102011253.75780004</v>
      </c>
    </row>
    <row r="27" spans="1:14" x14ac:dyDescent="0.35">
      <c r="A27" s="4" t="s">
        <v>71</v>
      </c>
      <c r="B27" s="29" t="s">
        <v>72</v>
      </c>
      <c r="C27" s="29" t="s">
        <v>311</v>
      </c>
      <c r="D27" s="29" t="s">
        <v>312</v>
      </c>
      <c r="E27" s="29" t="s">
        <v>313</v>
      </c>
      <c r="F27" s="29" t="s">
        <v>316</v>
      </c>
      <c r="G27" s="26" t="s">
        <v>311</v>
      </c>
      <c r="I27" s="32" t="s">
        <v>324</v>
      </c>
      <c r="J27" s="32" t="s">
        <v>325</v>
      </c>
      <c r="M27" s="29" t="s">
        <v>314</v>
      </c>
      <c r="N27" s="29" t="s">
        <v>315</v>
      </c>
    </row>
    <row r="28" spans="1:14" x14ac:dyDescent="0.35">
      <c r="A28" s="4">
        <v>2019</v>
      </c>
      <c r="B28" s="4">
        <v>44924200</v>
      </c>
      <c r="D28" s="4">
        <f t="shared" ref="D28:D59" si="0">$B$28*M28</f>
        <v>44924200</v>
      </c>
      <c r="E28" s="4">
        <v>337019342</v>
      </c>
      <c r="F28" s="4">
        <f t="shared" ref="F28:F59" si="1">$E$28*N28</f>
        <v>337019342</v>
      </c>
      <c r="I28">
        <f t="shared" ref="I28:I33" si="2">B28-D28</f>
        <v>0</v>
      </c>
      <c r="J28">
        <f t="shared" ref="J28:J33" si="3">E28-F28</f>
        <v>0</v>
      </c>
      <c r="M28" s="25">
        <v>1</v>
      </c>
      <c r="N28" s="28">
        <v>1</v>
      </c>
    </row>
    <row r="29" spans="1:14" x14ac:dyDescent="0.35">
      <c r="A29" s="4">
        <v>2020</v>
      </c>
      <c r="B29" s="4">
        <v>43651000</v>
      </c>
      <c r="D29" s="4">
        <f t="shared" si="0"/>
        <v>44506404.939999998</v>
      </c>
      <c r="E29" s="4">
        <v>322332479</v>
      </c>
      <c r="F29" s="4">
        <f t="shared" si="1"/>
        <v>327447992.68720001</v>
      </c>
      <c r="I29">
        <f t="shared" si="2"/>
        <v>-855404.93999999762</v>
      </c>
      <c r="J29">
        <f t="shared" si="3"/>
        <v>-5115513.6872000098</v>
      </c>
      <c r="M29" s="4">
        <v>0.99070000000000003</v>
      </c>
      <c r="N29">
        <v>0.97160000000000002</v>
      </c>
    </row>
    <row r="30" spans="1:14" x14ac:dyDescent="0.35">
      <c r="A30" s="4">
        <v>2021</v>
      </c>
      <c r="B30" s="4">
        <v>41491000</v>
      </c>
      <c r="D30" s="4">
        <f t="shared" si="0"/>
        <v>44088609.880000003</v>
      </c>
      <c r="E30" s="4">
        <v>351541388</v>
      </c>
      <c r="F30" s="4">
        <f t="shared" si="1"/>
        <v>317876643.37440002</v>
      </c>
      <c r="I30">
        <f t="shared" si="2"/>
        <v>-2597609.8800000027</v>
      </c>
      <c r="J30">
        <f t="shared" si="3"/>
        <v>33664744.62559998</v>
      </c>
      <c r="M30" s="4">
        <v>0.98140000000000005</v>
      </c>
      <c r="N30">
        <v>0.94320000000000004</v>
      </c>
    </row>
    <row r="31" spans="1:14" x14ac:dyDescent="0.35">
      <c r="A31" s="4">
        <v>2022</v>
      </c>
      <c r="B31" s="4">
        <v>46887000</v>
      </c>
      <c r="D31" s="4">
        <f t="shared" si="0"/>
        <v>43670814.82</v>
      </c>
      <c r="E31" s="4">
        <v>324352315</v>
      </c>
      <c r="F31" s="4">
        <f t="shared" si="1"/>
        <v>308305294.06159997</v>
      </c>
      <c r="I31">
        <f t="shared" si="2"/>
        <v>3216185.1799999997</v>
      </c>
      <c r="J31">
        <f t="shared" si="3"/>
        <v>16047020.93840003</v>
      </c>
      <c r="M31" s="4">
        <v>0.97209999999999996</v>
      </c>
      <c r="N31">
        <v>0.91479999999999995</v>
      </c>
    </row>
    <row r="32" spans="1:14" x14ac:dyDescent="0.35">
      <c r="A32" s="4">
        <v>2023</v>
      </c>
      <c r="B32" s="4">
        <v>41819000</v>
      </c>
      <c r="D32" s="4">
        <f t="shared" si="0"/>
        <v>40395840.640000001</v>
      </c>
      <c r="E32" s="4">
        <v>322167663</v>
      </c>
      <c r="F32" s="4">
        <f t="shared" si="1"/>
        <v>298733944.74879998</v>
      </c>
      <c r="I32">
        <f t="shared" si="2"/>
        <v>1423159.3599999994</v>
      </c>
      <c r="J32">
        <f t="shared" si="3"/>
        <v>23433718.25120002</v>
      </c>
      <c r="M32" s="4">
        <v>0.8992</v>
      </c>
      <c r="N32">
        <v>0.88639999999999997</v>
      </c>
    </row>
    <row r="33" spans="1:14" x14ac:dyDescent="0.35">
      <c r="A33" s="4">
        <v>2024</v>
      </c>
      <c r="B33" s="4">
        <v>39844000</v>
      </c>
      <c r="D33" s="4">
        <f t="shared" si="0"/>
        <v>37120866.460000001</v>
      </c>
      <c r="E33" s="4">
        <v>323177581</v>
      </c>
      <c r="F33" s="4">
        <f t="shared" si="1"/>
        <v>289196297.37019998</v>
      </c>
      <c r="I33">
        <f t="shared" si="2"/>
        <v>2723133.5399999991</v>
      </c>
      <c r="J33">
        <f t="shared" si="3"/>
        <v>33981283.629800022</v>
      </c>
      <c r="M33" s="4">
        <v>0.82630000000000003</v>
      </c>
      <c r="N33">
        <v>0.85809999999999997</v>
      </c>
    </row>
    <row r="34" spans="1:14" x14ac:dyDescent="0.35">
      <c r="A34" s="4">
        <v>2025</v>
      </c>
      <c r="D34" s="4">
        <f t="shared" si="0"/>
        <v>33845892.280000001</v>
      </c>
      <c r="F34" s="4">
        <f t="shared" si="1"/>
        <v>279624948.05739999</v>
      </c>
      <c r="M34" s="4">
        <v>0.75339999999999996</v>
      </c>
      <c r="N34">
        <v>0.82969999999999999</v>
      </c>
    </row>
    <row r="35" spans="1:14" x14ac:dyDescent="0.35">
      <c r="A35" s="4">
        <v>2026</v>
      </c>
      <c r="D35" s="4">
        <f t="shared" si="0"/>
        <v>30570918.100000001</v>
      </c>
      <c r="F35" s="4">
        <f t="shared" si="1"/>
        <v>270053598.7446</v>
      </c>
      <c r="M35" s="4">
        <v>0.68049999999999999</v>
      </c>
      <c r="N35">
        <v>0.80130000000000001</v>
      </c>
    </row>
    <row r="36" spans="1:14" x14ac:dyDescent="0.35">
      <c r="A36" s="4">
        <v>2027</v>
      </c>
      <c r="D36" s="4">
        <f t="shared" si="0"/>
        <v>27295943.920000002</v>
      </c>
      <c r="F36" s="4">
        <f t="shared" si="1"/>
        <v>260482249.43180001</v>
      </c>
      <c r="M36" s="4">
        <v>0.60760000000000003</v>
      </c>
      <c r="N36">
        <v>0.77290000000000003</v>
      </c>
    </row>
    <row r="37" spans="1:14" x14ac:dyDescent="0.35">
      <c r="A37" s="4">
        <v>2028</v>
      </c>
      <c r="D37" s="4">
        <f t="shared" si="0"/>
        <v>24020969.739999998</v>
      </c>
      <c r="F37" s="4">
        <f t="shared" si="1"/>
        <v>250910900.11900002</v>
      </c>
      <c r="M37" s="4">
        <v>0.53469999999999995</v>
      </c>
      <c r="N37">
        <v>0.74450000000000005</v>
      </c>
    </row>
    <row r="38" spans="1:14" x14ac:dyDescent="0.35">
      <c r="A38" s="4">
        <v>2029</v>
      </c>
      <c r="D38" s="4">
        <f t="shared" si="0"/>
        <v>20745995.559999999</v>
      </c>
      <c r="F38" s="4">
        <f t="shared" si="1"/>
        <v>241339550.8062</v>
      </c>
      <c r="M38" s="4">
        <v>0.46179999999999999</v>
      </c>
      <c r="N38">
        <v>0.71609999999999996</v>
      </c>
    </row>
    <row r="39" spans="1:14" x14ac:dyDescent="0.35">
      <c r="A39" s="4">
        <v>2030</v>
      </c>
      <c r="C39" s="4">
        <f>(1-E18)*F18</f>
        <v>38717600</v>
      </c>
      <c r="D39" s="4">
        <f t="shared" si="0"/>
        <v>17471021.380000003</v>
      </c>
      <c r="F39" s="4">
        <f t="shared" si="1"/>
        <v>231768201.49339998</v>
      </c>
      <c r="M39" s="4">
        <v>0.38890000000000002</v>
      </c>
      <c r="N39">
        <v>0.68769999999999998</v>
      </c>
    </row>
    <row r="40" spans="1:14" x14ac:dyDescent="0.35">
      <c r="A40" s="4">
        <v>2031</v>
      </c>
      <c r="D40" s="4">
        <f t="shared" si="0"/>
        <v>16815128.060000002</v>
      </c>
      <c r="F40" s="4">
        <f t="shared" si="1"/>
        <v>203323769.02859998</v>
      </c>
      <c r="M40" s="4">
        <v>0.37430000000000002</v>
      </c>
      <c r="N40">
        <v>0.60329999999999995</v>
      </c>
    </row>
    <row r="41" spans="1:14" x14ac:dyDescent="0.35">
      <c r="A41" s="4">
        <v>2032</v>
      </c>
      <c r="D41" s="4">
        <f t="shared" si="0"/>
        <v>16159234.74</v>
      </c>
      <c r="F41" s="4">
        <f t="shared" si="1"/>
        <v>174879336.56380001</v>
      </c>
      <c r="M41" s="4">
        <v>0.35970000000000002</v>
      </c>
      <c r="N41">
        <v>0.51890000000000003</v>
      </c>
    </row>
    <row r="42" spans="1:14" x14ac:dyDescent="0.35">
      <c r="A42" s="4">
        <v>2033</v>
      </c>
      <c r="D42" s="4">
        <f t="shared" si="0"/>
        <v>15503341.42</v>
      </c>
      <c r="F42" s="4">
        <f t="shared" si="1"/>
        <v>146434904.09900001</v>
      </c>
      <c r="M42" s="4">
        <v>0.34510000000000002</v>
      </c>
      <c r="N42">
        <v>0.4345</v>
      </c>
    </row>
    <row r="43" spans="1:14" x14ac:dyDescent="0.35">
      <c r="A43" s="4">
        <v>2034</v>
      </c>
      <c r="D43" s="4">
        <f t="shared" si="0"/>
        <v>14847448.100000001</v>
      </c>
      <c r="F43" s="4">
        <f t="shared" si="1"/>
        <v>117990471.63420001</v>
      </c>
      <c r="M43" s="4">
        <v>0.33050000000000002</v>
      </c>
      <c r="N43">
        <v>0.35010000000000002</v>
      </c>
    </row>
    <row r="44" spans="1:14" x14ac:dyDescent="0.35">
      <c r="A44" s="4">
        <v>2035</v>
      </c>
      <c r="D44" s="4">
        <f t="shared" si="0"/>
        <v>14191554.780000001</v>
      </c>
      <c r="F44" s="4">
        <f t="shared" si="1"/>
        <v>89546039.169399992</v>
      </c>
      <c r="M44" s="4">
        <v>0.31590000000000001</v>
      </c>
      <c r="N44">
        <v>0.26569999999999999</v>
      </c>
    </row>
    <row r="45" spans="1:14" x14ac:dyDescent="0.35">
      <c r="A45" s="4">
        <v>2036</v>
      </c>
      <c r="D45" s="4">
        <f t="shared" si="0"/>
        <v>13540153.880000001</v>
      </c>
      <c r="F45" s="4">
        <f t="shared" si="1"/>
        <v>78424400.883399993</v>
      </c>
      <c r="M45" s="4">
        <v>0.3014</v>
      </c>
      <c r="N45">
        <v>0.23269999999999999</v>
      </c>
    </row>
    <row r="46" spans="1:14" x14ac:dyDescent="0.35">
      <c r="A46" s="4">
        <v>2037</v>
      </c>
      <c r="D46" s="4">
        <f t="shared" si="0"/>
        <v>12884260.560000001</v>
      </c>
      <c r="F46" s="4">
        <f t="shared" si="1"/>
        <v>67336464.531599998</v>
      </c>
      <c r="M46" s="4">
        <v>0.2868</v>
      </c>
      <c r="N46">
        <v>0.19980000000000001</v>
      </c>
    </row>
    <row r="47" spans="1:14" x14ac:dyDescent="0.35">
      <c r="A47" s="4">
        <v>2038</v>
      </c>
      <c r="D47" s="4">
        <f t="shared" si="0"/>
        <v>12228367.24</v>
      </c>
      <c r="F47" s="4">
        <f t="shared" si="1"/>
        <v>56214826.2456</v>
      </c>
      <c r="M47" s="4">
        <v>0.2722</v>
      </c>
      <c r="N47">
        <v>0.1668</v>
      </c>
    </row>
    <row r="48" spans="1:14" x14ac:dyDescent="0.35">
      <c r="A48" s="4">
        <v>2039</v>
      </c>
      <c r="D48" s="4">
        <f t="shared" si="0"/>
        <v>11572473.92</v>
      </c>
      <c r="F48" s="4">
        <f t="shared" si="1"/>
        <v>45126889.893799998</v>
      </c>
      <c r="M48" s="4">
        <v>0.2576</v>
      </c>
      <c r="N48">
        <v>0.13389999999999999</v>
      </c>
    </row>
    <row r="49" spans="1:14" x14ac:dyDescent="0.35">
      <c r="A49" s="4">
        <v>2040</v>
      </c>
      <c r="D49" s="4">
        <f t="shared" si="0"/>
        <v>10916580.6</v>
      </c>
      <c r="F49" s="4">
        <f t="shared" si="1"/>
        <v>34005251.607799999</v>
      </c>
      <c r="M49" s="4">
        <v>0.24299999999999999</v>
      </c>
      <c r="N49">
        <v>0.1009</v>
      </c>
    </row>
    <row r="50" spans="1:14" x14ac:dyDescent="0.35">
      <c r="A50" s="4">
        <v>2041</v>
      </c>
      <c r="D50" s="4">
        <f t="shared" si="0"/>
        <v>10265179.700000001</v>
      </c>
      <c r="F50" s="4">
        <f t="shared" si="1"/>
        <v>27736691.8466</v>
      </c>
      <c r="M50" s="4">
        <v>0.22850000000000001</v>
      </c>
      <c r="N50">
        <v>8.2299999999999998E-2</v>
      </c>
    </row>
    <row r="51" spans="1:14" x14ac:dyDescent="0.35">
      <c r="A51" s="4">
        <v>2042</v>
      </c>
      <c r="D51" s="4">
        <f t="shared" si="0"/>
        <v>9609286.3800000008</v>
      </c>
      <c r="F51" s="4">
        <f t="shared" si="1"/>
        <v>21468132.085400004</v>
      </c>
      <c r="M51" s="4">
        <v>0.21390000000000001</v>
      </c>
      <c r="N51">
        <v>6.3700000000000007E-2</v>
      </c>
    </row>
    <row r="52" spans="1:14" x14ac:dyDescent="0.35">
      <c r="A52" s="4">
        <v>2043</v>
      </c>
      <c r="D52" s="4">
        <f t="shared" si="0"/>
        <v>8953393.0600000005</v>
      </c>
      <c r="F52" s="4">
        <f t="shared" si="1"/>
        <v>15165870.389999999</v>
      </c>
      <c r="M52" s="4">
        <v>0.1993</v>
      </c>
      <c r="N52">
        <v>4.4999999999999998E-2</v>
      </c>
    </row>
    <row r="53" spans="1:14" x14ac:dyDescent="0.35">
      <c r="A53" s="4">
        <v>2044</v>
      </c>
      <c r="D53" s="4">
        <f t="shared" si="0"/>
        <v>8297499.7400000002</v>
      </c>
      <c r="F53" s="4">
        <f t="shared" si="1"/>
        <v>8897310.6287999991</v>
      </c>
      <c r="M53" s="4">
        <v>0.1847</v>
      </c>
      <c r="N53">
        <v>2.64E-2</v>
      </c>
    </row>
    <row r="54" spans="1:14" x14ac:dyDescent="0.35">
      <c r="A54" s="4">
        <v>2045</v>
      </c>
      <c r="D54" s="4">
        <f t="shared" si="0"/>
        <v>7641606.4199999999</v>
      </c>
      <c r="F54" s="4">
        <f t="shared" si="1"/>
        <v>2628750.8676</v>
      </c>
      <c r="M54" s="4">
        <v>0.1701</v>
      </c>
      <c r="N54">
        <v>7.7999999999999996E-3</v>
      </c>
    </row>
    <row r="55" spans="1:14" x14ac:dyDescent="0.35">
      <c r="A55" s="4">
        <v>2046</v>
      </c>
      <c r="D55" s="4">
        <f t="shared" si="0"/>
        <v>6985713.0999999996</v>
      </c>
      <c r="F55" s="4">
        <f t="shared" si="1"/>
        <v>2089519.9203999999</v>
      </c>
      <c r="M55" s="4">
        <v>0.1555</v>
      </c>
      <c r="N55">
        <v>6.1999999999999998E-3</v>
      </c>
    </row>
    <row r="56" spans="1:14" x14ac:dyDescent="0.35">
      <c r="A56" s="4">
        <v>2047</v>
      </c>
      <c r="D56" s="4">
        <f t="shared" si="0"/>
        <v>6334312.1999999993</v>
      </c>
      <c r="F56" s="4">
        <f t="shared" si="1"/>
        <v>1583990.9074000001</v>
      </c>
      <c r="M56" s="4">
        <v>0.14099999999999999</v>
      </c>
      <c r="N56">
        <v>4.7000000000000002E-3</v>
      </c>
    </row>
    <row r="57" spans="1:14" x14ac:dyDescent="0.35">
      <c r="A57" s="4">
        <v>2048</v>
      </c>
      <c r="D57" s="4">
        <f t="shared" si="0"/>
        <v>5678418.8800000008</v>
      </c>
      <c r="F57" s="4">
        <f t="shared" si="1"/>
        <v>1044759.9602</v>
      </c>
      <c r="M57" s="4">
        <v>0.12640000000000001</v>
      </c>
      <c r="N57">
        <v>3.0999999999999999E-3</v>
      </c>
    </row>
    <row r="58" spans="1:14" x14ac:dyDescent="0.35">
      <c r="A58" s="4">
        <v>2049</v>
      </c>
      <c r="D58" s="4">
        <f t="shared" si="0"/>
        <v>5022525.5599999996</v>
      </c>
      <c r="F58" s="4">
        <f t="shared" si="1"/>
        <v>539230.94720000005</v>
      </c>
      <c r="M58" s="4">
        <v>0.1118</v>
      </c>
      <c r="N58">
        <v>1.6000000000000001E-3</v>
      </c>
    </row>
    <row r="59" spans="1:14" x14ac:dyDescent="0.35">
      <c r="A59" s="4">
        <v>2050</v>
      </c>
      <c r="D59" s="4">
        <f t="shared" si="0"/>
        <v>4366632.24</v>
      </c>
      <c r="F59" s="4">
        <f t="shared" si="1"/>
        <v>0</v>
      </c>
      <c r="M59" s="4">
        <v>9.7199999999999995E-2</v>
      </c>
      <c r="N59">
        <v>0</v>
      </c>
    </row>
    <row r="61" spans="1:14" x14ac:dyDescent="0.35">
      <c r="M61" s="37" t="s">
        <v>317</v>
      </c>
      <c r="N61" s="37" t="s">
        <v>318</v>
      </c>
    </row>
    <row r="62" spans="1:14" x14ac:dyDescent="0.35">
      <c r="M62" s="37" t="s">
        <v>298</v>
      </c>
      <c r="N62" s="38" t="s">
        <v>319</v>
      </c>
    </row>
    <row r="63" spans="1:14" x14ac:dyDescent="0.35">
      <c r="M63" s="37" t="s">
        <v>320</v>
      </c>
      <c r="N63" s="37" t="s">
        <v>320</v>
      </c>
    </row>
    <row r="64" spans="1:14" x14ac:dyDescent="0.35">
      <c r="M64" s="33" t="s">
        <v>299</v>
      </c>
      <c r="N64" s="33" t="s">
        <v>321</v>
      </c>
    </row>
    <row r="66" spans="1:13" x14ac:dyDescent="0.35">
      <c r="A66" s="36" t="s">
        <v>333</v>
      </c>
      <c r="B66" s="34"/>
      <c r="C66" s="34"/>
      <c r="D66" s="34"/>
      <c r="E66" s="34"/>
      <c r="F66" s="34"/>
      <c r="G66" s="34"/>
      <c r="H66" s="35"/>
      <c r="I66" s="35"/>
      <c r="J66" s="35"/>
      <c r="K66" s="35"/>
      <c r="L66" s="35"/>
      <c r="M66" s="35"/>
    </row>
    <row r="68" spans="1:13" x14ac:dyDescent="0.35">
      <c r="A68" s="29" t="s">
        <v>71</v>
      </c>
      <c r="B68" s="29" t="s">
        <v>330</v>
      </c>
      <c r="C68" s="29" t="s">
        <v>332</v>
      </c>
      <c r="D68" s="29" t="s">
        <v>331</v>
      </c>
      <c r="E68" s="29" t="s">
        <v>334</v>
      </c>
      <c r="F68" s="29" t="s">
        <v>335</v>
      </c>
      <c r="G68" s="39" t="s">
        <v>337</v>
      </c>
      <c r="H68" s="39" t="s">
        <v>348</v>
      </c>
      <c r="I68" s="31" t="s">
        <v>349</v>
      </c>
      <c r="L68" s="39" t="s">
        <v>340</v>
      </c>
      <c r="M68" s="39" t="s">
        <v>343</v>
      </c>
    </row>
    <row r="69" spans="1:13" x14ac:dyDescent="0.35">
      <c r="A69" s="4">
        <v>2020</v>
      </c>
      <c r="C69">
        <v>1865000000</v>
      </c>
      <c r="D69" s="4" t="s">
        <v>48</v>
      </c>
      <c r="E69" s="20">
        <v>836</v>
      </c>
      <c r="F69" s="4" t="s">
        <v>336</v>
      </c>
      <c r="G69" s="4">
        <v>3.4</v>
      </c>
      <c r="H69" s="4">
        <v>14</v>
      </c>
      <c r="I69" t="s">
        <v>338</v>
      </c>
      <c r="L69" t="s">
        <v>339</v>
      </c>
      <c r="M69" t="s">
        <v>345</v>
      </c>
    </row>
    <row r="70" spans="1:13" x14ac:dyDescent="0.35">
      <c r="A70" s="4">
        <v>2021</v>
      </c>
      <c r="C70">
        <v>2023000000</v>
      </c>
      <c r="D70" s="4" t="s">
        <v>48</v>
      </c>
      <c r="E70" s="20">
        <v>1020</v>
      </c>
      <c r="F70" s="4" t="s">
        <v>336</v>
      </c>
      <c r="G70" s="4">
        <v>4.4000000000000004</v>
      </c>
      <c r="H70" s="4">
        <v>14</v>
      </c>
      <c r="I70" t="s">
        <v>338</v>
      </c>
      <c r="L70" t="s">
        <v>341</v>
      </c>
      <c r="M70" t="s">
        <v>346</v>
      </c>
    </row>
    <row r="71" spans="1:13" x14ac:dyDescent="0.35">
      <c r="A71" s="4">
        <v>2022</v>
      </c>
      <c r="C71">
        <v>200000000</v>
      </c>
      <c r="D71" s="4" t="s">
        <v>48</v>
      </c>
      <c r="E71" s="20">
        <v>1071</v>
      </c>
      <c r="F71" s="4" t="s">
        <v>336</v>
      </c>
      <c r="G71" s="4">
        <v>4.4000000000000004</v>
      </c>
      <c r="H71" s="4">
        <v>16</v>
      </c>
      <c r="I71" t="s">
        <v>338</v>
      </c>
      <c r="L71" t="s">
        <v>342</v>
      </c>
      <c r="M71" t="s">
        <v>344</v>
      </c>
    </row>
    <row r="72" spans="1:13" x14ac:dyDescent="0.35">
      <c r="A72" s="4">
        <v>2023</v>
      </c>
      <c r="C72">
        <v>804000000</v>
      </c>
      <c r="D72" s="4" t="s">
        <v>48</v>
      </c>
      <c r="E72" s="20">
        <v>2120</v>
      </c>
      <c r="F72" s="4" t="s">
        <v>336</v>
      </c>
      <c r="G72" s="4">
        <v>4.9000000000000004</v>
      </c>
      <c r="H72" s="4">
        <v>11</v>
      </c>
      <c r="I72" t="s">
        <v>338</v>
      </c>
      <c r="L72" t="s">
        <v>351</v>
      </c>
      <c r="M72" t="s">
        <v>345</v>
      </c>
    </row>
    <row r="73" spans="1:13" x14ac:dyDescent="0.35">
      <c r="A73" s="4">
        <v>2024</v>
      </c>
      <c r="B73">
        <v>5449000000</v>
      </c>
      <c r="C73">
        <v>804000000</v>
      </c>
      <c r="D73" s="4" t="s">
        <v>48</v>
      </c>
      <c r="E73" s="20">
        <v>1977</v>
      </c>
      <c r="F73" s="4" t="s">
        <v>336</v>
      </c>
      <c r="G73" s="4">
        <v>4.4000000000000004</v>
      </c>
      <c r="H73" s="4">
        <v>5.3</v>
      </c>
      <c r="I73" s="27">
        <f>C73/B73</f>
        <v>0.14755000917599559</v>
      </c>
      <c r="L73" t="s">
        <v>352</v>
      </c>
    </row>
    <row r="77" spans="1:13" x14ac:dyDescent="0.35">
      <c r="A77" s="36" t="s">
        <v>347</v>
      </c>
      <c r="B77" s="34"/>
      <c r="C77" s="34"/>
      <c r="D77" s="34"/>
      <c r="E77" s="34"/>
      <c r="F77" s="34"/>
      <c r="G77" s="34"/>
      <c r="H77" s="35"/>
      <c r="I77" s="35"/>
      <c r="J77" s="35"/>
      <c r="K77" s="35"/>
      <c r="L77" s="35"/>
      <c r="M77" s="35"/>
    </row>
    <row r="79" spans="1:13" x14ac:dyDescent="0.35">
      <c r="A79" s="29" t="s">
        <v>364</v>
      </c>
    </row>
    <row r="80" spans="1:13" x14ac:dyDescent="0.35">
      <c r="A80" t="s">
        <v>350</v>
      </c>
    </row>
  </sheetData>
  <hyperlinks>
    <hyperlink ref="A3" r:id="rId1" display="https://www.lukoil.com/Sustainability/SustainabilityReport" xr:uid="{35092021-E190-4E61-B8B4-E787B64D2BCC}"/>
    <hyperlink ref="B3" r:id="rId2" display="https://www.lukoil.com/Sustainability/ratingsandinitiatives" xr:uid="{ECEB6D9A-779C-4DF7-A17F-CD961A4E885E}"/>
    <hyperlink ref="E3" r:id="rId3" display="https://www.lukoil.com/Sustainability" xr:uid="{8416D71A-12D4-477C-8871-CDE9668BE6BC}"/>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F20D-90F5-467E-BD25-DE369F5F5523}">
  <dimension ref="A1:R84"/>
  <sheetViews>
    <sheetView tabSelected="1" topLeftCell="A69" workbookViewId="0">
      <selection activeCell="G31" sqref="G31"/>
    </sheetView>
  </sheetViews>
  <sheetFormatPr defaultRowHeight="14.5" x14ac:dyDescent="0.35"/>
  <cols>
    <col min="2" max="2" width="10.81640625" bestFit="1" customWidth="1"/>
    <col min="3" max="3" width="9.81640625" bestFit="1" customWidth="1"/>
    <col min="6" max="7" width="11.26953125" bestFit="1" customWidth="1"/>
  </cols>
  <sheetData>
    <row r="1" spans="1:13" x14ac:dyDescent="0.35">
      <c r="A1" s="34" t="s">
        <v>365</v>
      </c>
      <c r="B1" s="34"/>
      <c r="C1" s="34"/>
      <c r="D1" s="34"/>
      <c r="E1" s="34"/>
      <c r="F1" s="34"/>
      <c r="G1" s="34"/>
      <c r="H1" s="35"/>
      <c r="I1" s="35"/>
      <c r="J1" s="35"/>
      <c r="K1" s="35"/>
      <c r="L1" s="35"/>
      <c r="M1" s="35"/>
    </row>
    <row r="2" spans="1:13" x14ac:dyDescent="0.35">
      <c r="A2" s="39" t="s">
        <v>366</v>
      </c>
      <c r="B2" s="29" t="s">
        <v>382</v>
      </c>
      <c r="C2" s="4"/>
      <c r="D2" s="29" t="s">
        <v>372</v>
      </c>
      <c r="E2" s="29" t="s">
        <v>320</v>
      </c>
      <c r="F2" s="4"/>
      <c r="G2" s="4"/>
    </row>
    <row r="3" spans="1:13" x14ac:dyDescent="0.35">
      <c r="A3" s="8" t="s">
        <v>381</v>
      </c>
      <c r="B3" s="8" t="s">
        <v>381</v>
      </c>
      <c r="C3" s="4"/>
      <c r="D3" s="4" t="s">
        <v>383</v>
      </c>
      <c r="E3" s="8" t="s">
        <v>370</v>
      </c>
      <c r="F3" s="4"/>
      <c r="G3" s="4"/>
    </row>
    <row r="4" spans="1:13" x14ac:dyDescent="0.35">
      <c r="A4" s="4"/>
      <c r="B4" s="4"/>
      <c r="C4" s="4"/>
      <c r="D4" s="4"/>
      <c r="E4" s="4"/>
      <c r="F4" s="4"/>
      <c r="G4" s="4"/>
    </row>
    <row r="5" spans="1:13" x14ac:dyDescent="0.35">
      <c r="A5" s="4"/>
      <c r="B5" s="4"/>
      <c r="C5" s="4"/>
      <c r="D5" s="4"/>
      <c r="E5" s="4"/>
      <c r="F5" s="4"/>
      <c r="G5" s="4"/>
    </row>
    <row r="6" spans="1:13" x14ac:dyDescent="0.35">
      <c r="A6" s="34" t="s">
        <v>353</v>
      </c>
      <c r="B6" s="34"/>
      <c r="C6" s="34"/>
      <c r="D6" s="34"/>
      <c r="E6" s="34"/>
      <c r="F6" s="34"/>
      <c r="G6" s="34"/>
      <c r="H6" s="35"/>
      <c r="I6" s="35"/>
      <c r="J6" s="35"/>
      <c r="K6" s="35"/>
      <c r="L6" s="35"/>
      <c r="M6" s="35"/>
    </row>
    <row r="7" spans="1:13" x14ac:dyDescent="0.35">
      <c r="A7" s="29" t="s">
        <v>259</v>
      </c>
      <c r="B7" s="29" t="s">
        <v>355</v>
      </c>
      <c r="C7" s="29" t="s">
        <v>71</v>
      </c>
      <c r="D7" s="29" t="s">
        <v>360</v>
      </c>
      <c r="E7" s="29" t="s">
        <v>362</v>
      </c>
      <c r="F7" s="4"/>
      <c r="G7" s="31" t="s">
        <v>357</v>
      </c>
      <c r="H7" s="31" t="s">
        <v>359</v>
      </c>
    </row>
    <row r="8" spans="1:13" x14ac:dyDescent="0.35">
      <c r="A8" s="4" t="s">
        <v>239</v>
      </c>
      <c r="B8">
        <v>23030000</v>
      </c>
      <c r="C8" s="4">
        <v>2024</v>
      </c>
      <c r="D8" s="4" t="s">
        <v>361</v>
      </c>
      <c r="E8" s="4" t="s">
        <v>363</v>
      </c>
      <c r="F8" s="4"/>
      <c r="G8" s="43">
        <f>B10/B17</f>
        <v>0.65840902835122483</v>
      </c>
      <c r="H8" s="43">
        <f>B16/B17</f>
        <v>0.34159097164877511</v>
      </c>
    </row>
    <row r="9" spans="1:13" x14ac:dyDescent="0.35">
      <c r="A9" s="4" t="s">
        <v>354</v>
      </c>
      <c r="B9">
        <v>890000</v>
      </c>
      <c r="C9" s="4">
        <v>2024</v>
      </c>
      <c r="D9" s="4" t="s">
        <v>361</v>
      </c>
      <c r="E9" s="4" t="s">
        <v>363</v>
      </c>
      <c r="F9" s="4"/>
      <c r="G9" s="4"/>
    </row>
    <row r="10" spans="1:13" ht="15" customHeight="1" x14ac:dyDescent="0.35">
      <c r="A10" s="4" t="s">
        <v>267</v>
      </c>
      <c r="B10" s="20">
        <f>SUM(B8:B9)</f>
        <v>23920000</v>
      </c>
      <c r="C10" s="4">
        <v>2024</v>
      </c>
      <c r="D10" s="4" t="s">
        <v>361</v>
      </c>
      <c r="E10" s="4" t="s">
        <v>363</v>
      </c>
      <c r="F10" s="4"/>
      <c r="G10" s="4"/>
    </row>
    <row r="11" spans="1:13" ht="15" customHeight="1" x14ac:dyDescent="0.35">
      <c r="A11" s="4" t="s">
        <v>244</v>
      </c>
      <c r="B11">
        <v>410000</v>
      </c>
      <c r="C11" s="4">
        <v>2024</v>
      </c>
      <c r="D11" s="4" t="s">
        <v>361</v>
      </c>
      <c r="E11" s="4" t="s">
        <v>363</v>
      </c>
      <c r="F11" s="4"/>
      <c r="G11" s="4"/>
    </row>
    <row r="12" spans="1:13" x14ac:dyDescent="0.35">
      <c r="A12" t="s">
        <v>243</v>
      </c>
      <c r="B12">
        <v>7390000</v>
      </c>
      <c r="C12" s="4">
        <v>2024</v>
      </c>
      <c r="D12" s="4" t="s">
        <v>361</v>
      </c>
      <c r="E12" s="4" t="s">
        <v>363</v>
      </c>
      <c r="F12" s="4"/>
      <c r="G12" s="4"/>
    </row>
    <row r="13" spans="1:13" x14ac:dyDescent="0.35">
      <c r="A13" s="4" t="s">
        <v>245</v>
      </c>
      <c r="B13">
        <v>390000</v>
      </c>
      <c r="C13" s="4">
        <v>2024</v>
      </c>
      <c r="D13" s="4" t="s">
        <v>361</v>
      </c>
      <c r="E13" s="4" t="s">
        <v>363</v>
      </c>
      <c r="F13" s="4"/>
      <c r="G13" s="4"/>
    </row>
    <row r="14" spans="1:13" x14ac:dyDescent="0.35">
      <c r="A14" s="4" t="s">
        <v>374</v>
      </c>
      <c r="B14">
        <v>1670000</v>
      </c>
      <c r="C14" s="4">
        <v>2024</v>
      </c>
      <c r="D14" s="4" t="s">
        <v>361</v>
      </c>
      <c r="E14" s="4" t="s">
        <v>363</v>
      </c>
      <c r="F14" s="4"/>
      <c r="G14" s="4"/>
    </row>
    <row r="15" spans="1:13" x14ac:dyDescent="0.35">
      <c r="A15" s="4" t="s">
        <v>251</v>
      </c>
      <c r="B15">
        <v>2550000</v>
      </c>
      <c r="C15" s="4">
        <v>2024</v>
      </c>
      <c r="D15" s="4" t="s">
        <v>361</v>
      </c>
      <c r="E15" s="4" t="s">
        <v>363</v>
      </c>
      <c r="F15" s="4"/>
      <c r="G15" s="4"/>
    </row>
    <row r="16" spans="1:13" x14ac:dyDescent="0.35">
      <c r="A16" s="4" t="s">
        <v>268</v>
      </c>
      <c r="B16">
        <f>SUM(B11:B15)</f>
        <v>12410000</v>
      </c>
      <c r="C16" s="4">
        <v>2024</v>
      </c>
      <c r="D16" s="4" t="s">
        <v>361</v>
      </c>
      <c r="E16" s="4" t="s">
        <v>363</v>
      </c>
      <c r="F16" s="4"/>
      <c r="G16" s="4"/>
    </row>
    <row r="17" spans="1:14" x14ac:dyDescent="0.35">
      <c r="A17" s="4" t="s">
        <v>358</v>
      </c>
      <c r="B17">
        <f>SUM(B10,B16)</f>
        <v>36330000</v>
      </c>
      <c r="C17" s="4">
        <v>2024</v>
      </c>
      <c r="D17" s="4" t="s">
        <v>361</v>
      </c>
    </row>
    <row r="18" spans="1:14" x14ac:dyDescent="0.35">
      <c r="A18" s="4"/>
      <c r="B18" s="4"/>
      <c r="C18" s="4"/>
      <c r="D18" s="4"/>
      <c r="E18" s="4"/>
      <c r="F18" s="4"/>
      <c r="G18" s="4"/>
    </row>
    <row r="19" spans="1:14" x14ac:dyDescent="0.35">
      <c r="A19" s="36" t="s">
        <v>328</v>
      </c>
      <c r="B19" s="34"/>
      <c r="C19" s="34"/>
      <c r="D19" s="34"/>
      <c r="E19" s="34"/>
      <c r="F19" s="34"/>
      <c r="G19" s="34"/>
      <c r="H19" s="35"/>
      <c r="I19" s="35"/>
      <c r="J19" s="35"/>
      <c r="K19" s="35"/>
      <c r="L19" s="35"/>
      <c r="M19" s="35"/>
    </row>
    <row r="20" spans="1:14" x14ac:dyDescent="0.35">
      <c r="A20" s="30" t="s">
        <v>39</v>
      </c>
      <c r="B20" s="30" t="s">
        <v>301</v>
      </c>
      <c r="C20" s="30" t="s">
        <v>302</v>
      </c>
      <c r="D20" s="30" t="s">
        <v>303</v>
      </c>
      <c r="E20" s="30" t="s">
        <v>304</v>
      </c>
      <c r="F20" s="30" t="s">
        <v>305</v>
      </c>
      <c r="G20" s="30" t="s">
        <v>306</v>
      </c>
      <c r="H20" s="30" t="s">
        <v>307</v>
      </c>
      <c r="I20" s="30" t="s">
        <v>70</v>
      </c>
      <c r="J20" s="30" t="s">
        <v>308</v>
      </c>
      <c r="K20" s="30" t="s">
        <v>309</v>
      </c>
      <c r="L20" s="30" t="s">
        <v>310</v>
      </c>
      <c r="M20" s="30" t="s">
        <v>69</v>
      </c>
    </row>
    <row r="21" spans="1:14" x14ac:dyDescent="0.35">
      <c r="A21" s="4" t="s">
        <v>8</v>
      </c>
      <c r="B21" s="4" t="s">
        <v>62</v>
      </c>
      <c r="C21" s="27">
        <v>2020</v>
      </c>
      <c r="D21" s="27">
        <v>2030</v>
      </c>
      <c r="E21" s="27">
        <v>0.1</v>
      </c>
      <c r="F21" s="27">
        <v>24185400</v>
      </c>
      <c r="G21" s="27">
        <v>24513019</v>
      </c>
      <c r="H21" t="s">
        <v>272</v>
      </c>
      <c r="I21" t="s">
        <v>65</v>
      </c>
      <c r="J21" t="s">
        <v>270</v>
      </c>
      <c r="K21" t="s">
        <v>373</v>
      </c>
      <c r="L21" t="s">
        <v>373</v>
      </c>
      <c r="M21" t="s">
        <v>275</v>
      </c>
    </row>
    <row r="22" spans="1:14" x14ac:dyDescent="0.35">
      <c r="A22" s="4" t="s">
        <v>8</v>
      </c>
      <c r="B22" s="4" t="s">
        <v>62</v>
      </c>
      <c r="C22" s="27"/>
      <c r="D22" s="27"/>
      <c r="E22" s="27"/>
      <c r="F22" s="27"/>
      <c r="G22" s="27"/>
      <c r="J22" t="s">
        <v>269</v>
      </c>
      <c r="K22" t="s">
        <v>300</v>
      </c>
    </row>
    <row r="23" spans="1:14" x14ac:dyDescent="0.35">
      <c r="A23" s="4" t="s">
        <v>8</v>
      </c>
      <c r="B23" s="4" t="s">
        <v>68</v>
      </c>
      <c r="C23" s="27"/>
      <c r="D23" s="27"/>
      <c r="E23" s="27"/>
      <c r="F23" s="27"/>
      <c r="G23" s="27"/>
      <c r="J23" t="s">
        <v>269</v>
      </c>
      <c r="K23" t="s">
        <v>300</v>
      </c>
    </row>
    <row r="24" spans="1:14" x14ac:dyDescent="0.35">
      <c r="A24" s="4" t="s">
        <v>8</v>
      </c>
      <c r="B24" s="4" t="s">
        <v>68</v>
      </c>
      <c r="C24" s="27"/>
      <c r="D24" s="27"/>
      <c r="E24" s="27"/>
      <c r="F24" s="27"/>
      <c r="G24" s="27"/>
      <c r="J24" t="s">
        <v>269</v>
      </c>
      <c r="K24" t="s">
        <v>300</v>
      </c>
    </row>
    <row r="25" spans="1:14" x14ac:dyDescent="0.35">
      <c r="A25" s="4"/>
      <c r="B25" s="4"/>
      <c r="C25" s="27"/>
      <c r="D25" s="27"/>
      <c r="E25" s="27"/>
      <c r="F25" s="27"/>
      <c r="G25" s="27"/>
    </row>
    <row r="26" spans="1:14" x14ac:dyDescent="0.35">
      <c r="A26" s="4"/>
      <c r="B26" s="4"/>
      <c r="C26" s="27"/>
      <c r="D26" s="27"/>
      <c r="E26" s="27"/>
      <c r="F26" s="27"/>
      <c r="G26" s="27"/>
    </row>
    <row r="27" spans="1:14" x14ac:dyDescent="0.35">
      <c r="A27" s="36" t="s">
        <v>329</v>
      </c>
      <c r="B27" s="34"/>
      <c r="C27" s="34"/>
      <c r="D27" s="34"/>
      <c r="E27" s="34"/>
      <c r="F27" s="34"/>
      <c r="G27" s="34"/>
      <c r="H27" s="35"/>
      <c r="I27" s="35"/>
      <c r="J27" s="35"/>
      <c r="K27" s="35"/>
      <c r="L27" s="35"/>
      <c r="M27" s="35"/>
      <c r="N27" s="35"/>
    </row>
    <row r="28" spans="1:14" x14ac:dyDescent="0.35">
      <c r="A28" s="4"/>
      <c r="B28" s="31" t="s">
        <v>322</v>
      </c>
      <c r="C28" s="31"/>
      <c r="D28" s="32" t="s">
        <v>323</v>
      </c>
      <c r="E28" s="31"/>
      <c r="F28" s="31"/>
      <c r="G28" s="26"/>
      <c r="I28" s="32" t="s">
        <v>326</v>
      </c>
      <c r="J28" s="32" t="s">
        <v>327</v>
      </c>
    </row>
    <row r="29" spans="1:14" x14ac:dyDescent="0.35">
      <c r="A29" s="4"/>
      <c r="B29" s="7">
        <f>SLOPE(B31:B36,A31:A36)/B31</f>
        <v>-3.0878690857346139E-2</v>
      </c>
      <c r="C29" s="7"/>
      <c r="D29" s="7">
        <f>SLOPE(D37:D42,A37:A42)/D37</f>
        <v>-6.8322654591232768E-2</v>
      </c>
      <c r="E29" s="7">
        <f>SLOPE(E31:E36,A31:A36)/E31</f>
        <v>-3.7355524734165514E-2</v>
      </c>
      <c r="F29" s="7">
        <f>SLOPE(F37:F42,A37:A42)/F36</f>
        <v>-5.487811538531559E-2</v>
      </c>
      <c r="G29" s="4"/>
      <c r="I29">
        <f>SUM(I31:I36)</f>
        <v>11200701</v>
      </c>
      <c r="J29">
        <f>SUM(J31:J36)</f>
        <v>2039155</v>
      </c>
    </row>
    <row r="30" spans="1:14" x14ac:dyDescent="0.35">
      <c r="A30" s="4" t="s">
        <v>71</v>
      </c>
      <c r="B30" s="29" t="s">
        <v>72</v>
      </c>
      <c r="C30" s="29" t="s">
        <v>311</v>
      </c>
      <c r="D30" s="29" t="s">
        <v>312</v>
      </c>
      <c r="E30" s="29" t="s">
        <v>313</v>
      </c>
      <c r="F30" s="29" t="s">
        <v>316</v>
      </c>
      <c r="G30" s="29" t="s">
        <v>403</v>
      </c>
      <c r="I30" s="32" t="s">
        <v>324</v>
      </c>
      <c r="J30" s="32" t="s">
        <v>325</v>
      </c>
      <c r="M30" s="29" t="s">
        <v>377</v>
      </c>
      <c r="N30" s="29" t="s">
        <v>378</v>
      </c>
    </row>
    <row r="31" spans="1:14" x14ac:dyDescent="0.35">
      <c r="A31" s="4">
        <v>2019</v>
      </c>
      <c r="B31">
        <v>28110000</v>
      </c>
      <c r="C31" s="4"/>
      <c r="D31" s="4">
        <f t="shared" ref="D31:D62" si="0">$B$31*M31</f>
        <v>28110000</v>
      </c>
      <c r="E31">
        <v>15450000</v>
      </c>
      <c r="F31" s="4">
        <f t="shared" ref="F31:F62" si="1">$E$31*N31</f>
        <v>15450000</v>
      </c>
      <c r="G31" s="4"/>
      <c r="I31">
        <f t="shared" ref="I31:I36" si="2">B31-D31</f>
        <v>0</v>
      </c>
      <c r="J31">
        <f t="shared" ref="J31:J36" si="3">E31-F31</f>
        <v>0</v>
      </c>
      <c r="M31" s="25">
        <v>1</v>
      </c>
      <c r="N31" s="28">
        <v>1</v>
      </c>
    </row>
    <row r="32" spans="1:14" x14ac:dyDescent="0.35">
      <c r="A32" s="4">
        <v>2020</v>
      </c>
      <c r="B32">
        <v>27860000</v>
      </c>
      <c r="C32" s="4"/>
      <c r="D32" s="4">
        <f t="shared" si="0"/>
        <v>26988411</v>
      </c>
      <c r="E32">
        <v>16100000</v>
      </c>
      <c r="F32" s="4">
        <f t="shared" si="1"/>
        <v>14784105</v>
      </c>
      <c r="G32" s="4"/>
      <c r="I32">
        <f t="shared" si="2"/>
        <v>871589</v>
      </c>
      <c r="J32">
        <f t="shared" si="3"/>
        <v>1315895</v>
      </c>
      <c r="M32" s="4">
        <v>0.96009999999999995</v>
      </c>
      <c r="N32">
        <v>0.95689999999999997</v>
      </c>
    </row>
    <row r="33" spans="1:14" x14ac:dyDescent="0.35">
      <c r="A33" s="4">
        <v>2021</v>
      </c>
      <c r="B33">
        <v>30270000</v>
      </c>
      <c r="C33" s="4"/>
      <c r="D33" s="4">
        <f t="shared" si="0"/>
        <v>25864011</v>
      </c>
      <c r="E33">
        <v>14080000</v>
      </c>
      <c r="F33" s="4">
        <f t="shared" si="1"/>
        <v>14119755</v>
      </c>
      <c r="G33" s="4"/>
      <c r="I33">
        <f t="shared" si="2"/>
        <v>4405989</v>
      </c>
      <c r="J33">
        <f t="shared" si="3"/>
        <v>-39755</v>
      </c>
      <c r="M33" s="4">
        <v>0.92010000000000003</v>
      </c>
      <c r="N33">
        <v>0.91390000000000005</v>
      </c>
    </row>
    <row r="34" spans="1:14" x14ac:dyDescent="0.35">
      <c r="A34" s="4">
        <v>2022</v>
      </c>
      <c r="B34">
        <v>27080000</v>
      </c>
      <c r="C34" s="4"/>
      <c r="D34" s="4">
        <f t="shared" si="0"/>
        <v>24742422</v>
      </c>
      <c r="E34">
        <v>12470000</v>
      </c>
      <c r="F34" s="4">
        <f t="shared" si="1"/>
        <v>13453860</v>
      </c>
      <c r="G34" s="4"/>
      <c r="I34">
        <f t="shared" si="2"/>
        <v>2337578</v>
      </c>
      <c r="J34">
        <f t="shared" si="3"/>
        <v>-983860</v>
      </c>
      <c r="M34" s="4">
        <v>0.88019999999999998</v>
      </c>
      <c r="N34">
        <v>0.87080000000000002</v>
      </c>
    </row>
    <row r="35" spans="1:14" x14ac:dyDescent="0.35">
      <c r="A35" s="4">
        <v>2023</v>
      </c>
      <c r="B35">
        <v>25780000</v>
      </c>
      <c r="C35" s="4"/>
      <c r="D35" s="4">
        <f t="shared" si="0"/>
        <v>23618022</v>
      </c>
      <c r="E35">
        <v>13170000</v>
      </c>
      <c r="F35" s="4">
        <f t="shared" si="1"/>
        <v>12789510</v>
      </c>
      <c r="G35" s="4"/>
      <c r="I35">
        <f t="shared" si="2"/>
        <v>2161978</v>
      </c>
      <c r="J35">
        <f t="shared" si="3"/>
        <v>380490</v>
      </c>
      <c r="M35" s="4">
        <v>0.84019999999999995</v>
      </c>
      <c r="N35">
        <v>0.82779999999999998</v>
      </c>
    </row>
    <row r="36" spans="1:14" x14ac:dyDescent="0.35">
      <c r="A36" s="4">
        <v>2024</v>
      </c>
      <c r="B36">
        <v>23920000</v>
      </c>
      <c r="C36" s="4"/>
      <c r="D36" s="4">
        <f t="shared" si="0"/>
        <v>22496433</v>
      </c>
      <c r="E36">
        <v>13490000</v>
      </c>
      <c r="F36" s="4">
        <f t="shared" si="1"/>
        <v>12123615</v>
      </c>
      <c r="G36" s="4"/>
      <c r="I36">
        <f t="shared" si="2"/>
        <v>1423567</v>
      </c>
      <c r="J36">
        <f t="shared" si="3"/>
        <v>1366385</v>
      </c>
      <c r="M36" s="4">
        <v>0.80030000000000001</v>
      </c>
      <c r="N36">
        <v>0.78469999999999995</v>
      </c>
    </row>
    <row r="37" spans="1:14" x14ac:dyDescent="0.35">
      <c r="A37" s="4">
        <v>2025</v>
      </c>
      <c r="B37" s="4"/>
      <c r="C37" s="4"/>
      <c r="D37" s="4">
        <f t="shared" si="0"/>
        <v>21372033</v>
      </c>
      <c r="E37" s="4"/>
      <c r="F37" s="4">
        <f t="shared" si="1"/>
        <v>11457720</v>
      </c>
      <c r="G37" s="4"/>
      <c r="M37" s="4">
        <v>0.76029999999999998</v>
      </c>
      <c r="N37">
        <v>0.74160000000000004</v>
      </c>
    </row>
    <row r="38" spans="1:14" x14ac:dyDescent="0.35">
      <c r="A38" s="4">
        <v>2026</v>
      </c>
      <c r="B38" s="4"/>
      <c r="C38" s="4"/>
      <c r="D38" s="4">
        <f t="shared" si="0"/>
        <v>19913124</v>
      </c>
      <c r="E38" s="4"/>
      <c r="F38" s="4">
        <f t="shared" si="1"/>
        <v>10793370</v>
      </c>
      <c r="G38" s="4"/>
      <c r="M38" s="4">
        <v>0.70840000000000003</v>
      </c>
      <c r="N38">
        <v>0.6986</v>
      </c>
    </row>
    <row r="39" spans="1:14" x14ac:dyDescent="0.35">
      <c r="A39" s="4">
        <v>2027</v>
      </c>
      <c r="B39" s="4"/>
      <c r="C39" s="4"/>
      <c r="D39" s="4">
        <f t="shared" si="0"/>
        <v>18451404</v>
      </c>
      <c r="E39" s="4"/>
      <c r="F39" s="4">
        <f t="shared" si="1"/>
        <v>10127475</v>
      </c>
      <c r="G39" s="4"/>
      <c r="M39" s="4">
        <v>0.65639999999999998</v>
      </c>
      <c r="N39">
        <v>0.65549999999999997</v>
      </c>
    </row>
    <row r="40" spans="1:14" x14ac:dyDescent="0.35">
      <c r="A40" s="4">
        <v>2028</v>
      </c>
      <c r="B40" s="4"/>
      <c r="C40" s="4"/>
      <c r="D40" s="4">
        <f t="shared" si="0"/>
        <v>16992495</v>
      </c>
      <c r="E40" s="4"/>
      <c r="F40" s="4">
        <f t="shared" si="1"/>
        <v>9461580</v>
      </c>
      <c r="G40" s="4"/>
      <c r="M40" s="4">
        <v>0.60450000000000004</v>
      </c>
      <c r="N40">
        <v>0.61240000000000006</v>
      </c>
    </row>
    <row r="41" spans="1:14" x14ac:dyDescent="0.35">
      <c r="A41" s="4">
        <v>2029</v>
      </c>
      <c r="B41" s="4"/>
      <c r="C41" s="4"/>
      <c r="D41" s="4">
        <f t="shared" si="0"/>
        <v>15530775</v>
      </c>
      <c r="E41" s="4"/>
      <c r="F41" s="4">
        <f t="shared" si="1"/>
        <v>8797230</v>
      </c>
      <c r="G41" s="4"/>
      <c r="M41" s="4">
        <v>0.55249999999999999</v>
      </c>
      <c r="N41">
        <v>0.56940000000000002</v>
      </c>
    </row>
    <row r="42" spans="1:14" x14ac:dyDescent="0.35">
      <c r="A42" s="4">
        <v>2030</v>
      </c>
      <c r="B42" s="4"/>
      <c r="C42" s="20">
        <f>(1-E21)*F21</f>
        <v>21766860</v>
      </c>
      <c r="D42" s="4">
        <f t="shared" si="0"/>
        <v>14071866.000000002</v>
      </c>
      <c r="E42" s="4"/>
      <c r="F42" s="4">
        <f t="shared" si="1"/>
        <v>8131335</v>
      </c>
      <c r="G42" s="4"/>
      <c r="M42" s="4">
        <v>0.50060000000000004</v>
      </c>
      <c r="N42">
        <v>0.52629999999999999</v>
      </c>
    </row>
    <row r="43" spans="1:14" x14ac:dyDescent="0.35">
      <c r="A43" s="4">
        <v>2031</v>
      </c>
      <c r="B43" s="4"/>
      <c r="C43" s="4"/>
      <c r="D43" s="4">
        <f t="shared" si="0"/>
        <v>13144236</v>
      </c>
      <c r="E43" s="4"/>
      <c r="F43" s="4">
        <f t="shared" si="1"/>
        <v>7629210</v>
      </c>
      <c r="G43" s="4"/>
      <c r="M43" s="4">
        <v>0.46760000000000002</v>
      </c>
      <c r="N43">
        <v>0.49380000000000002</v>
      </c>
    </row>
    <row r="44" spans="1:14" x14ac:dyDescent="0.35">
      <c r="A44" s="4">
        <v>2032</v>
      </c>
      <c r="B44" s="4"/>
      <c r="C44" s="4"/>
      <c r="D44" s="4">
        <f t="shared" si="0"/>
        <v>12216606</v>
      </c>
      <c r="E44" s="4"/>
      <c r="F44" s="4">
        <f t="shared" si="1"/>
        <v>7125540</v>
      </c>
      <c r="G44" s="4"/>
      <c r="M44" s="4">
        <v>0.43459999999999999</v>
      </c>
      <c r="N44">
        <v>0.4612</v>
      </c>
    </row>
    <row r="45" spans="1:14" x14ac:dyDescent="0.35">
      <c r="A45" s="4">
        <v>2033</v>
      </c>
      <c r="B45" s="4"/>
      <c r="C45" s="4"/>
      <c r="D45" s="4">
        <f t="shared" si="0"/>
        <v>11288976</v>
      </c>
      <c r="E45" s="4"/>
      <c r="F45" s="4">
        <f t="shared" si="1"/>
        <v>6623415</v>
      </c>
      <c r="G45" s="4"/>
      <c r="M45" s="4">
        <v>0.40160000000000001</v>
      </c>
      <c r="N45">
        <v>0.42870000000000003</v>
      </c>
    </row>
    <row r="46" spans="1:14" x14ac:dyDescent="0.35">
      <c r="A46" s="4">
        <v>2034</v>
      </c>
      <c r="B46" s="4"/>
      <c r="C46" s="4"/>
      <c r="D46" s="4">
        <f t="shared" si="0"/>
        <v>10361346</v>
      </c>
      <c r="E46" s="4"/>
      <c r="F46" s="4">
        <f t="shared" si="1"/>
        <v>6121290</v>
      </c>
      <c r="G46" s="4"/>
      <c r="M46" s="4">
        <v>0.36859999999999998</v>
      </c>
      <c r="N46">
        <v>0.3962</v>
      </c>
    </row>
    <row r="47" spans="1:14" x14ac:dyDescent="0.35">
      <c r="A47" s="4">
        <v>2035</v>
      </c>
      <c r="B47" s="4"/>
      <c r="C47" s="4"/>
      <c r="D47" s="4">
        <f t="shared" si="0"/>
        <v>9430905</v>
      </c>
      <c r="E47" s="4"/>
      <c r="F47" s="4">
        <f t="shared" si="1"/>
        <v>5617620</v>
      </c>
      <c r="G47" s="4"/>
      <c r="M47" s="4">
        <v>0.33550000000000002</v>
      </c>
      <c r="N47">
        <v>0.36359999999999998</v>
      </c>
    </row>
    <row r="48" spans="1:14" x14ac:dyDescent="0.35">
      <c r="A48" s="4">
        <v>2036</v>
      </c>
      <c r="B48" s="4"/>
      <c r="C48" s="4"/>
      <c r="D48" s="4">
        <f t="shared" si="0"/>
        <v>8671935</v>
      </c>
      <c r="E48" s="4"/>
      <c r="F48" s="4">
        <f t="shared" si="1"/>
        <v>5234460</v>
      </c>
      <c r="G48" s="4"/>
      <c r="M48" s="4">
        <v>0.3085</v>
      </c>
      <c r="N48">
        <v>0.33879999999999999</v>
      </c>
    </row>
    <row r="49" spans="1:14" x14ac:dyDescent="0.35">
      <c r="A49" s="4">
        <v>2037</v>
      </c>
      <c r="B49" s="4"/>
      <c r="C49" s="4"/>
      <c r="D49" s="4">
        <f t="shared" si="0"/>
        <v>7912964.9999999991</v>
      </c>
      <c r="E49" s="4"/>
      <c r="F49" s="4">
        <f t="shared" si="1"/>
        <v>4849755</v>
      </c>
      <c r="G49" s="4"/>
      <c r="M49" s="4">
        <v>0.28149999999999997</v>
      </c>
      <c r="N49">
        <v>0.31390000000000001</v>
      </c>
    </row>
    <row r="50" spans="1:14" x14ac:dyDescent="0.35">
      <c r="A50" s="4">
        <v>2038</v>
      </c>
      <c r="B50" s="4"/>
      <c r="C50" s="4"/>
      <c r="D50" s="4">
        <f t="shared" si="0"/>
        <v>7153995</v>
      </c>
      <c r="E50" s="4"/>
      <c r="F50" s="4">
        <f t="shared" si="1"/>
        <v>4465050</v>
      </c>
      <c r="G50" s="4"/>
      <c r="M50" s="4">
        <v>0.2545</v>
      </c>
      <c r="N50">
        <v>0.28899999999999998</v>
      </c>
    </row>
    <row r="51" spans="1:14" x14ac:dyDescent="0.35">
      <c r="A51" s="4">
        <v>2039</v>
      </c>
      <c r="B51" s="4"/>
      <c r="C51" s="4"/>
      <c r="D51" s="4">
        <f t="shared" si="0"/>
        <v>6392214</v>
      </c>
      <c r="E51" s="4"/>
      <c r="F51" s="4">
        <f t="shared" si="1"/>
        <v>4080345</v>
      </c>
      <c r="G51" s="4"/>
      <c r="M51" s="4">
        <v>0.22739999999999999</v>
      </c>
      <c r="N51">
        <v>0.2641</v>
      </c>
    </row>
    <row r="52" spans="1:14" x14ac:dyDescent="0.35">
      <c r="A52" s="4">
        <v>2040</v>
      </c>
      <c r="B52" s="4"/>
      <c r="C52" s="4"/>
      <c r="D52" s="4">
        <f t="shared" si="0"/>
        <v>5633244</v>
      </c>
      <c r="E52" s="4"/>
      <c r="F52" s="4">
        <f t="shared" si="1"/>
        <v>3695640</v>
      </c>
      <c r="G52" s="4"/>
      <c r="M52" s="4">
        <v>0.20039999999999999</v>
      </c>
      <c r="N52">
        <v>0.2392</v>
      </c>
    </row>
    <row r="53" spans="1:14" x14ac:dyDescent="0.35">
      <c r="A53" s="4">
        <v>2041</v>
      </c>
      <c r="B53" s="4"/>
      <c r="C53" s="4"/>
      <c r="D53" s="4">
        <f t="shared" si="0"/>
        <v>5183484</v>
      </c>
      <c r="E53" s="4"/>
      <c r="F53" s="4">
        <f t="shared" si="1"/>
        <v>3429900</v>
      </c>
      <c r="G53" s="4"/>
      <c r="M53" s="4">
        <v>0.18440000000000001</v>
      </c>
      <c r="N53">
        <v>0.222</v>
      </c>
    </row>
    <row r="54" spans="1:14" x14ac:dyDescent="0.35">
      <c r="A54" s="4">
        <v>2042</v>
      </c>
      <c r="B54" s="4"/>
      <c r="C54" s="4"/>
      <c r="D54" s="4">
        <f t="shared" si="0"/>
        <v>4733724</v>
      </c>
      <c r="E54" s="4"/>
      <c r="F54" s="4">
        <f t="shared" si="1"/>
        <v>3164160</v>
      </c>
      <c r="G54" s="4"/>
      <c r="M54" s="4">
        <v>0.16839999999999999</v>
      </c>
      <c r="N54">
        <v>0.20480000000000001</v>
      </c>
    </row>
    <row r="55" spans="1:14" x14ac:dyDescent="0.35">
      <c r="A55" s="4">
        <v>2043</v>
      </c>
      <c r="B55" s="4"/>
      <c r="C55" s="4"/>
      <c r="D55" s="4">
        <f t="shared" si="0"/>
        <v>4283964</v>
      </c>
      <c r="E55" s="4"/>
      <c r="F55" s="4">
        <f t="shared" si="1"/>
        <v>2898420</v>
      </c>
      <c r="G55" s="4"/>
      <c r="M55" s="4">
        <v>0.15240000000000001</v>
      </c>
      <c r="N55">
        <v>0.18759999999999999</v>
      </c>
    </row>
    <row r="56" spans="1:14" x14ac:dyDescent="0.35">
      <c r="A56" s="4">
        <v>2044</v>
      </c>
      <c r="B56" s="4"/>
      <c r="C56" s="4"/>
      <c r="D56" s="4">
        <f t="shared" si="0"/>
        <v>3834204</v>
      </c>
      <c r="E56" s="4"/>
      <c r="F56" s="4">
        <f t="shared" si="1"/>
        <v>2631135</v>
      </c>
      <c r="G56" s="4"/>
      <c r="M56" s="4">
        <v>0.13639999999999999</v>
      </c>
      <c r="N56">
        <v>0.17030000000000001</v>
      </c>
    </row>
    <row r="57" spans="1:14" x14ac:dyDescent="0.35">
      <c r="A57" s="4">
        <v>2045</v>
      </c>
      <c r="B57" s="4"/>
      <c r="C57" s="4"/>
      <c r="D57" s="4">
        <f t="shared" si="0"/>
        <v>3384444</v>
      </c>
      <c r="E57" s="4"/>
      <c r="F57" s="4">
        <f t="shared" si="1"/>
        <v>2365395</v>
      </c>
      <c r="G57" s="4"/>
      <c r="M57" s="4">
        <v>0.12039999999999999</v>
      </c>
      <c r="N57">
        <v>0.15310000000000001</v>
      </c>
    </row>
    <row r="58" spans="1:14" x14ac:dyDescent="0.35">
      <c r="A58" s="4">
        <v>2046</v>
      </c>
      <c r="B58" s="4"/>
      <c r="C58" s="4"/>
      <c r="D58" s="4">
        <f t="shared" si="0"/>
        <v>2962794</v>
      </c>
      <c r="E58" s="4"/>
      <c r="F58" s="4">
        <f t="shared" si="1"/>
        <v>2217075</v>
      </c>
      <c r="G58" s="4"/>
      <c r="M58" s="4">
        <v>0.10539999999999999</v>
      </c>
      <c r="N58">
        <v>0.14349999999999999</v>
      </c>
    </row>
    <row r="59" spans="1:14" x14ac:dyDescent="0.35">
      <c r="A59" s="4">
        <v>2047</v>
      </c>
      <c r="B59" s="4"/>
      <c r="C59" s="4"/>
      <c r="D59" s="4">
        <f t="shared" si="0"/>
        <v>2543955</v>
      </c>
      <c r="E59" s="4"/>
      <c r="F59" s="4">
        <f t="shared" si="1"/>
        <v>2070300.0000000002</v>
      </c>
      <c r="G59" s="4"/>
      <c r="M59" s="4">
        <v>9.0499999999999997E-2</v>
      </c>
      <c r="N59">
        <v>0.13400000000000001</v>
      </c>
    </row>
    <row r="60" spans="1:14" x14ac:dyDescent="0.35">
      <c r="A60" s="4">
        <v>2048</v>
      </c>
      <c r="B60" s="4"/>
      <c r="C60" s="4"/>
      <c r="D60" s="4">
        <f t="shared" si="0"/>
        <v>2125116</v>
      </c>
      <c r="E60" s="4"/>
      <c r="F60" s="4">
        <f t="shared" si="1"/>
        <v>1921980</v>
      </c>
      <c r="G60" s="4"/>
      <c r="M60" s="4">
        <v>7.5600000000000001E-2</v>
      </c>
      <c r="N60">
        <v>0.1244</v>
      </c>
    </row>
    <row r="61" spans="1:14" x14ac:dyDescent="0.35">
      <c r="A61" s="4">
        <v>2049</v>
      </c>
      <c r="B61" s="4"/>
      <c r="C61" s="4"/>
      <c r="D61" s="4">
        <f t="shared" si="0"/>
        <v>1703466</v>
      </c>
      <c r="E61" s="4"/>
      <c r="F61" s="4">
        <f t="shared" si="1"/>
        <v>1773660</v>
      </c>
      <c r="G61" s="4"/>
      <c r="M61" s="4">
        <v>6.0600000000000001E-2</v>
      </c>
      <c r="N61">
        <v>0.1148</v>
      </c>
    </row>
    <row r="62" spans="1:14" x14ac:dyDescent="0.35">
      <c r="A62" s="4">
        <v>2050</v>
      </c>
      <c r="B62" s="4"/>
      <c r="C62" s="4"/>
      <c r="D62" s="4">
        <f t="shared" si="0"/>
        <v>1284627</v>
      </c>
      <c r="E62" s="4"/>
      <c r="F62" s="4">
        <f t="shared" si="1"/>
        <v>1626885</v>
      </c>
      <c r="G62" s="4"/>
      <c r="M62" s="4">
        <v>4.5699999999999998E-2</v>
      </c>
      <c r="N62">
        <v>0.1053</v>
      </c>
    </row>
    <row r="63" spans="1:14" x14ac:dyDescent="0.35">
      <c r="A63" s="4"/>
      <c r="B63" s="4"/>
      <c r="C63" s="4"/>
      <c r="D63" s="4"/>
      <c r="E63" s="4"/>
      <c r="F63" s="4"/>
      <c r="G63" s="4"/>
    </row>
    <row r="64" spans="1:14" x14ac:dyDescent="0.35">
      <c r="A64" s="4"/>
      <c r="B64" s="4"/>
      <c r="C64" s="4"/>
      <c r="D64" s="4"/>
      <c r="E64" s="4"/>
      <c r="F64" s="4"/>
      <c r="G64" s="4"/>
      <c r="M64" s="37" t="s">
        <v>317</v>
      </c>
      <c r="N64" s="37" t="s">
        <v>318</v>
      </c>
    </row>
    <row r="65" spans="1:18" x14ac:dyDescent="0.35">
      <c r="A65" s="4"/>
      <c r="B65" s="4"/>
      <c r="C65" s="4"/>
      <c r="D65" s="4"/>
      <c r="E65" s="4"/>
      <c r="F65" s="4"/>
      <c r="G65" s="4"/>
      <c r="M65" s="38" t="s">
        <v>375</v>
      </c>
      <c r="N65" s="38" t="s">
        <v>379</v>
      </c>
    </row>
    <row r="66" spans="1:18" x14ac:dyDescent="0.35">
      <c r="A66" s="4"/>
      <c r="B66" s="4"/>
      <c r="C66" s="4"/>
      <c r="D66" s="4"/>
      <c r="E66" s="4"/>
      <c r="F66" s="4"/>
      <c r="G66" s="4"/>
      <c r="M66" s="37" t="s">
        <v>320</v>
      </c>
      <c r="N66" s="37" t="s">
        <v>320</v>
      </c>
    </row>
    <row r="67" spans="1:18" x14ac:dyDescent="0.35">
      <c r="A67" s="4"/>
      <c r="B67" s="4"/>
      <c r="C67" s="4"/>
      <c r="D67" s="4"/>
      <c r="E67" s="4"/>
      <c r="F67" s="4"/>
      <c r="G67" s="4"/>
      <c r="M67" s="33" t="s">
        <v>376</v>
      </c>
      <c r="N67" s="33" t="s">
        <v>380</v>
      </c>
    </row>
    <row r="68" spans="1:18" x14ac:dyDescent="0.35">
      <c r="A68" s="4"/>
      <c r="B68" s="4"/>
      <c r="C68" s="4"/>
      <c r="D68" s="4"/>
      <c r="E68" s="4"/>
      <c r="F68" s="4"/>
      <c r="G68" s="4"/>
    </row>
    <row r="69" spans="1:18" x14ac:dyDescent="0.35">
      <c r="A69" s="36" t="s">
        <v>333</v>
      </c>
      <c r="B69" s="34"/>
      <c r="C69" s="34"/>
      <c r="D69" s="34"/>
      <c r="E69" s="34"/>
      <c r="F69" s="34"/>
      <c r="G69" s="34"/>
      <c r="H69" s="35"/>
      <c r="I69" s="35"/>
      <c r="J69" s="35"/>
      <c r="K69" s="35"/>
      <c r="L69" s="35"/>
      <c r="M69" s="35"/>
      <c r="N69" s="35"/>
      <c r="O69" s="35"/>
      <c r="P69" s="35"/>
    </row>
    <row r="70" spans="1:18" x14ac:dyDescent="0.35">
      <c r="A70" s="4"/>
      <c r="B70" s="4"/>
      <c r="C70" s="4"/>
      <c r="D70" s="4"/>
      <c r="E70" s="4"/>
      <c r="F70" s="4"/>
      <c r="G70" s="4"/>
    </row>
    <row r="71" spans="1:18" x14ac:dyDescent="0.35">
      <c r="A71" s="29" t="s">
        <v>71</v>
      </c>
      <c r="B71" s="29" t="s">
        <v>330</v>
      </c>
      <c r="C71" s="29" t="s">
        <v>332</v>
      </c>
      <c r="D71" s="29" t="s">
        <v>331</v>
      </c>
      <c r="E71" s="29" t="s">
        <v>385</v>
      </c>
      <c r="F71" s="29" t="s">
        <v>335</v>
      </c>
      <c r="G71" s="39" t="s">
        <v>384</v>
      </c>
      <c r="H71" s="39" t="s">
        <v>348</v>
      </c>
      <c r="I71" s="31" t="s">
        <v>349</v>
      </c>
      <c r="K71" s="32" t="s">
        <v>392</v>
      </c>
      <c r="L71" s="10">
        <f>L72/SUM(L72:L73)</f>
        <v>0.19670518809933613</v>
      </c>
      <c r="O71" s="39" t="s">
        <v>399</v>
      </c>
      <c r="P71" s="39" t="s">
        <v>343</v>
      </c>
      <c r="Q71" s="39" t="s">
        <v>400</v>
      </c>
    </row>
    <row r="72" spans="1:18" x14ac:dyDescent="0.35">
      <c r="A72" s="4">
        <v>2020</v>
      </c>
      <c r="B72" s="4"/>
      <c r="C72" t="s">
        <v>338</v>
      </c>
      <c r="D72" s="4" t="s">
        <v>48</v>
      </c>
      <c r="E72" s="20">
        <v>31951</v>
      </c>
      <c r="F72" s="4" t="s">
        <v>386</v>
      </c>
      <c r="G72" s="4">
        <v>47.8</v>
      </c>
      <c r="H72" s="4"/>
      <c r="I72" t="s">
        <v>338</v>
      </c>
      <c r="K72" s="39" t="s">
        <v>388</v>
      </c>
      <c r="L72">
        <v>2400</v>
      </c>
      <c r="O72" s="42" t="s">
        <v>394</v>
      </c>
      <c r="P72" t="s">
        <v>398</v>
      </c>
      <c r="Q72">
        <v>150</v>
      </c>
    </row>
    <row r="73" spans="1:18" x14ac:dyDescent="0.35">
      <c r="A73" s="4">
        <v>2021</v>
      </c>
      <c r="B73" s="4"/>
      <c r="C73" t="s">
        <v>338</v>
      </c>
      <c r="D73" s="4" t="s">
        <v>48</v>
      </c>
      <c r="E73" s="20">
        <v>34131</v>
      </c>
      <c r="F73" s="4" t="s">
        <v>386</v>
      </c>
      <c r="G73" s="4">
        <v>45.7</v>
      </c>
      <c r="H73" s="4"/>
      <c r="I73" t="s">
        <v>338</v>
      </c>
      <c r="K73" s="39" t="s">
        <v>389</v>
      </c>
      <c r="L73">
        <v>9801</v>
      </c>
      <c r="O73" s="42" t="s">
        <v>393</v>
      </c>
      <c r="P73" t="s">
        <v>398</v>
      </c>
      <c r="Q73">
        <v>180</v>
      </c>
      <c r="R73" s="42"/>
    </row>
    <row r="74" spans="1:18" x14ac:dyDescent="0.35">
      <c r="A74" s="4">
        <v>2022</v>
      </c>
      <c r="B74" s="4"/>
      <c r="C74" t="s">
        <v>338</v>
      </c>
      <c r="D74" s="4" t="s">
        <v>48</v>
      </c>
      <c r="E74" s="20">
        <v>31194</v>
      </c>
      <c r="F74" s="4" t="s">
        <v>386</v>
      </c>
      <c r="G74" s="4">
        <v>44.9</v>
      </c>
      <c r="H74" s="4"/>
      <c r="I74" t="s">
        <v>338</v>
      </c>
      <c r="K74" s="38" t="s">
        <v>390</v>
      </c>
      <c r="O74" t="s">
        <v>395</v>
      </c>
      <c r="P74" t="s">
        <v>398</v>
      </c>
      <c r="Q74">
        <v>100</v>
      </c>
      <c r="R74" s="42"/>
    </row>
    <row r="75" spans="1:18" x14ac:dyDescent="0.35">
      <c r="A75" s="4">
        <v>2023</v>
      </c>
      <c r="B75" s="4"/>
      <c r="C75" t="s">
        <v>338</v>
      </c>
      <c r="D75" s="4" t="s">
        <v>48</v>
      </c>
      <c r="E75" s="20">
        <v>31132</v>
      </c>
      <c r="F75" s="4" t="s">
        <v>386</v>
      </c>
      <c r="G75" s="4">
        <v>44.1</v>
      </c>
      <c r="H75" s="4"/>
      <c r="I75" t="s">
        <v>338</v>
      </c>
      <c r="K75" s="8" t="s">
        <v>391</v>
      </c>
      <c r="O75" t="s">
        <v>396</v>
      </c>
      <c r="P75" t="s">
        <v>398</v>
      </c>
      <c r="Q75">
        <v>50</v>
      </c>
      <c r="R75" s="42"/>
    </row>
    <row r="76" spans="1:18" x14ac:dyDescent="0.35">
      <c r="A76" s="4">
        <v>2024</v>
      </c>
      <c r="B76">
        <v>118460000000</v>
      </c>
      <c r="C76" t="s">
        <v>338</v>
      </c>
      <c r="D76" s="4" t="s">
        <v>48</v>
      </c>
      <c r="E76" s="20">
        <v>30136</v>
      </c>
      <c r="F76" s="4" t="s">
        <v>386</v>
      </c>
      <c r="G76" s="4">
        <v>43.9</v>
      </c>
      <c r="H76" s="4"/>
      <c r="I76" s="27" t="s">
        <v>338</v>
      </c>
      <c r="O76" t="s">
        <v>397</v>
      </c>
      <c r="P76" t="s">
        <v>398</v>
      </c>
      <c r="Q76">
        <v>600</v>
      </c>
      <c r="R76" s="42"/>
    </row>
    <row r="77" spans="1:18" x14ac:dyDescent="0.35">
      <c r="A77" s="4"/>
      <c r="B77" s="4"/>
      <c r="C77" s="4"/>
      <c r="D77" s="4"/>
      <c r="E77" s="4"/>
      <c r="F77" s="4"/>
      <c r="G77" s="4"/>
      <c r="O77" t="s">
        <v>401</v>
      </c>
      <c r="P77" t="s">
        <v>402</v>
      </c>
      <c r="Q77">
        <v>180</v>
      </c>
      <c r="R77" s="42"/>
    </row>
    <row r="78" spans="1:18" x14ac:dyDescent="0.35">
      <c r="A78" s="4"/>
      <c r="B78" s="4"/>
      <c r="C78" s="4"/>
      <c r="D78" s="4"/>
      <c r="E78" s="4"/>
      <c r="F78" s="4"/>
      <c r="G78" s="4"/>
      <c r="R78" s="42"/>
    </row>
    <row r="79" spans="1:18" x14ac:dyDescent="0.35">
      <c r="A79" s="4"/>
      <c r="B79" s="4"/>
      <c r="C79" s="4"/>
      <c r="D79" s="4"/>
      <c r="E79" s="4"/>
      <c r="F79" s="4"/>
      <c r="G79" s="4"/>
    </row>
    <row r="80" spans="1:18" x14ac:dyDescent="0.35">
      <c r="A80" s="36" t="s">
        <v>347</v>
      </c>
      <c r="B80" s="34"/>
      <c r="C80" s="34"/>
      <c r="D80" s="34"/>
      <c r="E80" s="34"/>
      <c r="F80" s="34"/>
      <c r="G80" s="34"/>
      <c r="H80" s="35"/>
      <c r="I80" s="35"/>
      <c r="J80" s="35"/>
      <c r="K80" s="35"/>
      <c r="L80" s="35"/>
      <c r="M80" s="35"/>
      <c r="N80" s="35"/>
      <c r="O80" s="35"/>
      <c r="P80" s="35"/>
    </row>
    <row r="81" spans="1:7" x14ac:dyDescent="0.35">
      <c r="A81" s="4"/>
      <c r="B81" s="4"/>
      <c r="C81" s="4"/>
      <c r="D81" s="4"/>
      <c r="E81" s="4"/>
      <c r="F81" s="4"/>
      <c r="G81" s="4"/>
    </row>
    <row r="82" spans="1:7" x14ac:dyDescent="0.35">
      <c r="A82" s="29" t="s">
        <v>364</v>
      </c>
      <c r="B82" s="4"/>
      <c r="C82" s="4"/>
      <c r="D82" s="4"/>
      <c r="E82" s="4"/>
      <c r="F82" s="4"/>
      <c r="G82" s="4"/>
    </row>
    <row r="83" spans="1:7" x14ac:dyDescent="0.35">
      <c r="A83" t="s">
        <v>387</v>
      </c>
      <c r="B83" s="4"/>
      <c r="C83" s="4"/>
      <c r="D83" s="4"/>
      <c r="E83" s="4"/>
      <c r="F83" s="4"/>
      <c r="G83" s="4"/>
    </row>
    <row r="84" spans="1:7" x14ac:dyDescent="0.35">
      <c r="A84" s="4"/>
      <c r="B84" s="4"/>
      <c r="C84" s="4"/>
      <c r="D84" s="4"/>
      <c r="E84" s="4"/>
      <c r="F84" s="4"/>
      <c r="G84" s="4"/>
    </row>
  </sheetData>
  <hyperlinks>
    <hyperlink ref="E3" r:id="rId1" display="https://www.lukoil.com/Sustainability" xr:uid="{D8F98A2C-770C-4E5B-9162-B690407F460F}"/>
    <hyperlink ref="A3" r:id="rId2" display="https://severstal.com/eng/ir/indicators-reporting/social-reports/" xr:uid="{D64EB872-D861-43CF-945E-762CD3B07FC8}"/>
    <hyperlink ref="B3" r:id="rId3" display="https://severstal.com/eng/ir/indicators-reporting/social-reports/" xr:uid="{5A4FD505-6FB4-456C-83A9-73E11185B2BD}"/>
    <hyperlink ref="K75" r:id="rId4" display="https://www.gem.wiki/Severstal_Cherepovets_steel_plant" xr:uid="{3DBF4A2E-C90E-4293-A7E7-7AC843C5E52B}"/>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Sheet5</vt:lpstr>
      <vt:lpstr>Master data</vt:lpstr>
      <vt:lpstr>Emissions</vt:lpstr>
      <vt:lpstr>Revenue</vt:lpstr>
      <vt:lpstr>GHG disclosure</vt:lpstr>
      <vt:lpstr>Target overview</vt:lpstr>
      <vt:lpstr>Workers</vt:lpstr>
      <vt:lpstr>Lukoil</vt:lpstr>
      <vt:lpstr>Severstal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Costa</dc:creator>
  <cp:lastModifiedBy>Luis Costa</cp:lastModifiedBy>
  <dcterms:created xsi:type="dcterms:W3CDTF">2026-05-07T16:25:44Z</dcterms:created>
  <dcterms:modified xsi:type="dcterms:W3CDTF">2026-05-15T11:20:27Z</dcterms:modified>
</cp:coreProperties>
</file>